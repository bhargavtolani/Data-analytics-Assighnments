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0055" windowHeight="7440" activeTab="7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7" sheetId="7" r:id="rId6"/>
    <sheet name="Sheet8" sheetId="8" r:id="rId7"/>
    <sheet name="Sheet9" sheetId="9" r:id="rId8"/>
  </sheets>
  <calcPr calcId="124519"/>
</workbook>
</file>

<file path=xl/calcChain.xml><?xml version="1.0" encoding="utf-8"?>
<calcChain xmlns="http://schemas.openxmlformats.org/spreadsheetml/2006/main">
  <c r="J5" i="7"/>
  <c r="H5" i="6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4"/>
  <c r="K4" i="4"/>
  <c r="F6" i="3"/>
  <c r="E8" i="2"/>
  <c r="D12"/>
</calcChain>
</file>

<file path=xl/sharedStrings.xml><?xml version="1.0" encoding="utf-8"?>
<sst xmlns="http://schemas.openxmlformats.org/spreadsheetml/2006/main" count="946" uniqueCount="118">
  <si>
    <t>1. Explain the diffrence between Relative , Absolute and Mixed cell refrencing</t>
  </si>
  <si>
    <t>Diffrence :-</t>
  </si>
  <si>
    <r>
      <rPr>
        <b/>
        <sz val="11"/>
        <color theme="1"/>
        <rFont val="Calibri"/>
        <family val="2"/>
        <scheme val="minor"/>
      </rPr>
      <t>Relative refrence</t>
    </r>
    <r>
      <rPr>
        <sz val="11"/>
        <color theme="1"/>
        <rFont val="Calibri"/>
        <family val="2"/>
        <scheme val="minor"/>
      </rPr>
      <t xml:space="preserve"> :- Change automaticaly when copied to another cell</t>
    </r>
  </si>
  <si>
    <r>
      <rPr>
        <b/>
        <sz val="11"/>
        <color theme="1"/>
        <rFont val="Calibri"/>
        <family val="2"/>
        <scheme val="minor"/>
      </rPr>
      <t>Absolute reference</t>
    </r>
    <r>
      <rPr>
        <sz val="11"/>
        <color theme="1"/>
        <rFont val="Calibri"/>
        <family val="2"/>
        <scheme val="minor"/>
      </rPr>
      <t xml:space="preserve"> :-It remain fixed </t>
    </r>
  </si>
  <si>
    <r>
      <rPr>
        <b/>
        <sz val="11"/>
        <color theme="1"/>
        <rFont val="Calibri"/>
        <family val="2"/>
        <scheme val="minor"/>
      </rPr>
      <t>Mixed cell reference</t>
    </r>
    <r>
      <rPr>
        <sz val="11"/>
        <color theme="1"/>
        <rFont val="Calibri"/>
        <family val="2"/>
        <scheme val="minor"/>
      </rPr>
      <t xml:space="preserve"> :- combination of relative and absolute </t>
    </r>
  </si>
  <si>
    <t>2.  Write a formula to calculate the total sales of Car and Bicyle only.</t>
  </si>
  <si>
    <t xml:space="preserve">Vehicle </t>
  </si>
  <si>
    <t>Price</t>
  </si>
  <si>
    <t>Result</t>
  </si>
  <si>
    <t xml:space="preserve">Car </t>
  </si>
  <si>
    <t xml:space="preserve">Bicycle </t>
  </si>
  <si>
    <t>Auto-Rickshaw</t>
  </si>
  <si>
    <t xml:space="preserve">Total sales </t>
  </si>
  <si>
    <t>3.  Using the data below, write a formula to calculate the average sales of  items priced above 100 but less than 300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</si>
  <si>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</si>
  <si>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</si>
  <si>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</si>
  <si>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</si>
  <si>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</si>
  <si>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</si>
  <si>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</si>
  <si>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</si>
  <si>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</si>
  <si>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</si>
  <si>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</si>
  <si>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</si>
  <si>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</si>
  <si>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</si>
  <si>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</si>
  <si>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</si>
  <si>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</si>
  <si>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</si>
  <si>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</si>
  <si>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</si>
  <si>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</si>
  <si>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</si>
  <si>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</si>
  <si>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</si>
  <si>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</si>
  <si>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</si>
  <si>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</si>
  <si>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</si>
  <si>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1/13/2024</t>
  </si>
  <si>
    <t>Meera Nair</t>
  </si>
  <si>
    <t>1/15/2024</t>
  </si>
  <si>
    <t>Anjali Rao</t>
  </si>
  <si>
    <t>1/17/2024</t>
  </si>
  <si>
    <t>Manoj Das</t>
  </si>
  <si>
    <t>1/18/2024</t>
  </si>
  <si>
    <t>Ritika Sen</t>
  </si>
  <si>
    <t>1/19/2024</t>
  </si>
  <si>
    <t>Karan Malhotra</t>
  </si>
  <si>
    <t>1/20/2024</t>
  </si>
  <si>
    <t>Aryan Joshi</t>
  </si>
  <si>
    <t>1/22/2024</t>
  </si>
  <si>
    <t>Divya Kapoor</t>
  </si>
  <si>
    <t>1/23/2024</t>
  </si>
  <si>
    <t>Sahil Arora</t>
  </si>
  <si>
    <t>1/24/2024</t>
  </si>
  <si>
    <t>Muskan Jain</t>
  </si>
  <si>
    <t>1/26/2024</t>
  </si>
  <si>
    <t>Rohan Gupta</t>
  </si>
  <si>
    <t>1/28/2024</t>
  </si>
  <si>
    <t>Nidhi Sharma</t>
  </si>
  <si>
    <t>1/29/2024</t>
  </si>
  <si>
    <t>Tarun Verma</t>
  </si>
  <si>
    <t>1/30/2024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</si>
  <si>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</si>
  <si>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</si>
  <si>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</si>
  <si>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</si>
  <si>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</si>
  <si>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</si>
  <si>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</si>
  <si>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</si>
  <si>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</si>
  <si>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</si>
  <si>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</si>
  <si>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2/13/2024</t>
  </si>
  <si>
    <t>Harsh Yadav</t>
  </si>
  <si>
    <t>2/14/2024</t>
  </si>
  <si>
    <t>Kajal Rani</t>
  </si>
  <si>
    <t>2/16/2024</t>
  </si>
  <si>
    <t>Varun Sharma</t>
  </si>
  <si>
    <t>2/17/2024</t>
  </si>
  <si>
    <t>Swati Arora</t>
  </si>
  <si>
    <t>2/18/2024</t>
  </si>
  <si>
    <t>Akhil Jain</t>
  </si>
  <si>
    <t>2/19/2024</t>
  </si>
  <si>
    <t>Priyanka Das</t>
  </si>
  <si>
    <t>2/21/2024</t>
  </si>
  <si>
    <t>Ravi Nair</t>
  </si>
  <si>
    <t>2/22/2024</t>
  </si>
  <si>
    <t>Komal Singh</t>
  </si>
  <si>
    <t>2/23/2024</t>
  </si>
  <si>
    <t>Ayesha Khan</t>
  </si>
  <si>
    <t>2/25/2024</t>
  </si>
  <si>
    <t>Arjun Mehta</t>
  </si>
  <si>
    <t>2/26/2024</t>
  </si>
  <si>
    <t>Sonali Gupta</t>
  </si>
  <si>
    <t>2/27/2024</t>
  </si>
  <si>
    <t>Neeraj Kapoor</t>
  </si>
  <si>
    <t>2/28/2024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</si>
  <si>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</si>
  <si>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</si>
  <si>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</si>
  <si>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</si>
  <si>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</si>
  <si>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</si>
  <si>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</si>
  <si>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</si>
  <si>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 Count how many customer names are recorded.</t>
  </si>
  <si>
    <t xml:space="preserve">Answer  </t>
  </si>
  <si>
    <t xml:space="preserve">5.  Calculate the Total Sales for each row using a formula.     
     </t>
  </si>
  <si>
    <t>6.  Calculate the total sales of Notebooks in the north region only.</t>
  </si>
  <si>
    <t>Answer</t>
  </si>
  <si>
    <t xml:space="preserve">7.  Create a column chart showing total sales by product     
    </t>
  </si>
  <si>
    <t xml:space="preserve">8.  Insert a line chart showing daily sales trend.    
   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</si>
</sst>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6" fillId="0" borderId="0" xfId="0" applyFont="1"/>
    <xf numFmtId="0" fontId="4" fillId="4" borderId="0" xfId="0" applyFont="1" applyFill="1"/>
    <xf numFmtId="0" fontId="7" fillId="5" borderId="0" xfId="0" applyFont="1" applyFill="1"/>
    <xf numFmtId="14" fontId="2" fillId="0" borderId="4" xfId="0" applyNumberFormat="1" applyFont="1" applyBorder="1" applyAlignment="1">
      <alignment horizontal="right" wrapText="1"/>
    </xf>
    <xf numFmtId="0" fontId="7" fillId="5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4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chart>
    <c:autoTitleDeleted val="1"/>
    <c:view3D>
      <c:perspective val="30"/>
    </c:view3D>
    <c:plotArea>
      <c:layout>
        <c:manualLayout>
          <c:layoutTarget val="inner"/>
          <c:xMode val="edge"/>
          <c:yMode val="edge"/>
          <c:x val="9.275205048591105E-2"/>
          <c:y val="4.0780604903725898E-2"/>
          <c:w val="0.88209071227936109"/>
          <c:h val="0.72500900197392681"/>
        </c:manualLayout>
      </c:layout>
      <c:bar3DChart>
        <c:barDir val="col"/>
        <c:grouping val="standard"/>
        <c:ser>
          <c:idx val="0"/>
          <c:order val="0"/>
          <c:tx>
            <c:strRef>
              <c:f>Sheet8!$H$1</c:f>
              <c:strCache>
                <c:ptCount val="1"/>
                <c:pt idx="0">
                  <c:v>Sales</c:v>
                </c:pt>
              </c:strCache>
            </c:strRef>
          </c:tx>
          <c:dLbls>
            <c:showVal val="1"/>
          </c:dLbls>
          <c:cat>
            <c:strRef>
              <c:f>Sheet8!$D$2:$D$51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Sheet8!$H$2:$H$51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>
          <c:showVal val="1"/>
        </c:dLbls>
        <c:gapWidth val="75"/>
        <c:shape val="box"/>
        <c:axId val="54175616"/>
        <c:axId val="54177152"/>
        <c:axId val="138291392"/>
      </c:bar3DChart>
      <c:catAx>
        <c:axId val="54175616"/>
        <c:scaling>
          <c:orientation val="minMax"/>
        </c:scaling>
        <c:axPos val="b"/>
        <c:majorTickMark val="none"/>
        <c:tickLblPos val="nextTo"/>
        <c:crossAx val="54177152"/>
        <c:crosses val="autoZero"/>
        <c:auto val="1"/>
        <c:lblAlgn val="ctr"/>
        <c:lblOffset val="100"/>
      </c:catAx>
      <c:valAx>
        <c:axId val="54177152"/>
        <c:scaling>
          <c:orientation val="minMax"/>
        </c:scaling>
        <c:axPos val="l"/>
        <c:numFmt formatCode="General" sourceLinked="1"/>
        <c:majorTickMark val="none"/>
        <c:tickLblPos val="nextTo"/>
        <c:crossAx val="54175616"/>
        <c:crosses val="autoZero"/>
        <c:crossBetween val="between"/>
      </c:valAx>
      <c:serAx>
        <c:axId val="138291392"/>
        <c:scaling>
          <c:orientation val="minMax"/>
        </c:scaling>
        <c:delete val="1"/>
        <c:axPos val="b"/>
        <c:majorTickMark val="none"/>
        <c:tickLblPos val="nextTo"/>
        <c:crossAx val="54177152"/>
        <c:crosses val="autoZero"/>
      </c:serAx>
    </c:plotArea>
    <c:legend>
      <c:legendPos val="b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</a:t>
            </a:r>
            <a:r>
              <a:rPr lang="en-US" baseline="0"/>
              <a:t> sales Chart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dLbls>
            <c:showVal val="1"/>
          </c:dLbls>
          <c:cat>
            <c:strRef>
              <c:f>Sheet9!$G$2:$G$51</c:f>
              <c:strCache>
                <c:ptCount val="50"/>
                <c:pt idx="0">
                  <c:v>01-05-2024</c:v>
                </c:pt>
                <c:pt idx="1">
                  <c:v>01-06-2024</c:v>
                </c:pt>
                <c:pt idx="2">
                  <c:v>01-07-2024</c:v>
                </c:pt>
                <c:pt idx="3">
                  <c:v>01-08-2024</c:v>
                </c:pt>
                <c:pt idx="4">
                  <c:v>01-10-2024</c:v>
                </c:pt>
                <c:pt idx="5">
                  <c:v>01-11-2024</c:v>
                </c:pt>
                <c:pt idx="6">
                  <c:v>1/13/2024</c:v>
                </c:pt>
                <c:pt idx="7">
                  <c:v>1/15/2024</c:v>
                </c:pt>
                <c:pt idx="8">
                  <c:v>1/17/2024</c:v>
                </c:pt>
                <c:pt idx="9">
                  <c:v>1/18/2024</c:v>
                </c:pt>
                <c:pt idx="10">
                  <c:v>1/19/2024</c:v>
                </c:pt>
                <c:pt idx="11">
                  <c:v>1/20/2024</c:v>
                </c:pt>
                <c:pt idx="12">
                  <c:v>1/22/2024</c:v>
                </c:pt>
                <c:pt idx="13">
                  <c:v>1/23/2024</c:v>
                </c:pt>
                <c:pt idx="14">
                  <c:v>1/24/2024</c:v>
                </c:pt>
                <c:pt idx="15">
                  <c:v>1/26/2024</c:v>
                </c:pt>
                <c:pt idx="16">
                  <c:v>1/28/2024</c:v>
                </c:pt>
                <c:pt idx="17">
                  <c:v>1/29/2024</c:v>
                </c:pt>
                <c:pt idx="18">
                  <c:v>1/30/2024</c:v>
                </c:pt>
                <c:pt idx="19">
                  <c:v>02-01-2024</c:v>
                </c:pt>
                <c:pt idx="20">
                  <c:v>02-02-2024</c:v>
                </c:pt>
                <c:pt idx="21">
                  <c:v>02-03-2024</c:v>
                </c:pt>
                <c:pt idx="22">
                  <c:v>02-04-2024</c:v>
                </c:pt>
                <c:pt idx="23">
                  <c:v>02-06-2024</c:v>
                </c:pt>
                <c:pt idx="24">
                  <c:v>02-07-2024</c:v>
                </c:pt>
                <c:pt idx="25">
                  <c:v>02-08-2024</c:v>
                </c:pt>
                <c:pt idx="26">
                  <c:v>02-09-2024</c:v>
                </c:pt>
                <c:pt idx="27">
                  <c:v>02-10-2024</c:v>
                </c:pt>
                <c:pt idx="28">
                  <c:v>02-12-2024</c:v>
                </c:pt>
                <c:pt idx="29">
                  <c:v>2/13/2024</c:v>
                </c:pt>
                <c:pt idx="30">
                  <c:v>2/14/2024</c:v>
                </c:pt>
                <c:pt idx="31">
                  <c:v>2/16/2024</c:v>
                </c:pt>
                <c:pt idx="32">
                  <c:v>2/17/2024</c:v>
                </c:pt>
                <c:pt idx="33">
                  <c:v>2/18/2024</c:v>
                </c:pt>
                <c:pt idx="34">
                  <c:v>2/19/2024</c:v>
                </c:pt>
                <c:pt idx="35">
                  <c:v>2/21/2024</c:v>
                </c:pt>
                <c:pt idx="36">
                  <c:v>2/22/2024</c:v>
                </c:pt>
                <c:pt idx="37">
                  <c:v>2/23/2024</c:v>
                </c:pt>
                <c:pt idx="38">
                  <c:v>2/25/2024</c:v>
                </c:pt>
                <c:pt idx="39">
                  <c:v>2/26/2024</c:v>
                </c:pt>
                <c:pt idx="40">
                  <c:v>2/27/2024</c:v>
                </c:pt>
                <c:pt idx="41">
                  <c:v>2/28/2024</c:v>
                </c:pt>
                <c:pt idx="42">
                  <c:v>03-01-2024</c:v>
                </c:pt>
                <c:pt idx="43">
                  <c:v>03-02-2024</c:v>
                </c:pt>
                <c:pt idx="44">
                  <c:v>03-03-2024</c:v>
                </c:pt>
                <c:pt idx="45">
                  <c:v>03-04-2024</c:v>
                </c:pt>
                <c:pt idx="46">
                  <c:v>03-05-2024</c:v>
                </c:pt>
                <c:pt idx="47">
                  <c:v>03-06-2024</c:v>
                </c:pt>
                <c:pt idx="48">
                  <c:v>03-07-2024</c:v>
                </c:pt>
                <c:pt idx="49">
                  <c:v>03-08-2024</c:v>
                </c:pt>
              </c:strCache>
            </c:strRef>
          </c:cat>
          <c:val>
            <c:numRef>
              <c:f>Sheet9!$H$2:$H$51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>
          <c:showVal val="1"/>
        </c:dLbls>
        <c:marker val="1"/>
        <c:axId val="54244096"/>
        <c:axId val="54245632"/>
      </c:lineChart>
      <c:catAx>
        <c:axId val="54244096"/>
        <c:scaling>
          <c:orientation val="minMax"/>
        </c:scaling>
        <c:axPos val="b"/>
        <c:majorTickMark val="none"/>
        <c:tickLblPos val="nextTo"/>
        <c:crossAx val="54245632"/>
        <c:crosses val="autoZero"/>
        <c:auto val="1"/>
        <c:lblAlgn val="ctr"/>
        <c:lblOffset val="100"/>
      </c:catAx>
      <c:valAx>
        <c:axId val="542456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42440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133348</xdr:colOff>
      <xdr:row>4</xdr:row>
      <xdr:rowOff>85725</xdr:rowOff>
    </xdr:from>
    <xdr:to>
      <xdr:col>27</xdr:col>
      <xdr:colOff>171449</xdr:colOff>
      <xdr:row>21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4</xdr:row>
      <xdr:rowOff>190500</xdr:rowOff>
    </xdr:from>
    <xdr:to>
      <xdr:col>27</xdr:col>
      <xdr:colOff>466725</xdr:colOff>
      <xdr:row>22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8"/>
  <sheetViews>
    <sheetView workbookViewId="0">
      <selection activeCell="C10" sqref="C10"/>
    </sheetView>
  </sheetViews>
  <sheetFormatPr defaultRowHeight="15"/>
  <cols>
    <col min="1" max="1" width="13.5703125" customWidth="1"/>
  </cols>
  <sheetData>
    <row r="2" spans="1:9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4" spans="1:9">
      <c r="A4" s="1" t="s">
        <v>1</v>
      </c>
      <c r="B4" s="23" t="s">
        <v>2</v>
      </c>
      <c r="C4" s="23"/>
      <c r="D4" s="23"/>
      <c r="E4" s="23"/>
      <c r="F4" s="23"/>
      <c r="G4" s="23"/>
      <c r="H4" s="23"/>
    </row>
    <row r="6" spans="1:9">
      <c r="B6" s="23" t="s">
        <v>3</v>
      </c>
      <c r="C6" s="23"/>
      <c r="D6" s="23"/>
      <c r="E6" s="23"/>
      <c r="F6" s="23"/>
      <c r="G6" s="23"/>
      <c r="H6" s="23"/>
    </row>
    <row r="8" spans="1:9">
      <c r="B8" s="23" t="s">
        <v>4</v>
      </c>
      <c r="C8" s="23"/>
      <c r="D8" s="23"/>
      <c r="E8" s="23"/>
      <c r="F8" s="23"/>
      <c r="G8" s="23"/>
      <c r="H8" s="23"/>
    </row>
  </sheetData>
  <mergeCells count="4">
    <mergeCell ref="A2:I2"/>
    <mergeCell ref="B4:H4"/>
    <mergeCell ref="B6:H6"/>
    <mergeCell ref="B8:H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5:I12"/>
  <sheetViews>
    <sheetView topLeftCell="A2" workbookViewId="0">
      <selection activeCell="E12" sqref="E12"/>
    </sheetView>
  </sheetViews>
  <sheetFormatPr defaultRowHeight="15"/>
  <cols>
    <col min="3" max="3" width="10.42578125" customWidth="1"/>
  </cols>
  <sheetData>
    <row r="5" spans="2:9">
      <c r="B5" s="2"/>
      <c r="C5" s="24" t="s">
        <v>5</v>
      </c>
      <c r="D5" s="24"/>
      <c r="E5" s="24"/>
      <c r="F5" s="24"/>
      <c r="G5" s="24"/>
      <c r="H5" s="24"/>
      <c r="I5" s="24"/>
    </row>
    <row r="6" spans="2:9">
      <c r="B6" s="2"/>
      <c r="C6" s="24"/>
      <c r="D6" s="24"/>
      <c r="E6" s="24"/>
      <c r="F6" s="24"/>
      <c r="G6" s="24"/>
      <c r="H6" s="24"/>
      <c r="I6" s="24"/>
    </row>
    <row r="7" spans="2:9" ht="18.75">
      <c r="B7" s="2"/>
      <c r="C7" s="3" t="s">
        <v>6</v>
      </c>
      <c r="D7" s="4" t="s">
        <v>7</v>
      </c>
      <c r="E7" s="5" t="s">
        <v>8</v>
      </c>
      <c r="F7" s="2"/>
      <c r="G7" s="2"/>
      <c r="H7" s="2"/>
      <c r="I7" s="2"/>
    </row>
    <row r="8" spans="2:9">
      <c r="B8" s="2"/>
      <c r="C8" s="2" t="s">
        <v>9</v>
      </c>
      <c r="D8" s="6">
        <v>500000</v>
      </c>
      <c r="E8" s="7">
        <f>SUM(D8+D9)</f>
        <v>510500</v>
      </c>
      <c r="F8" s="2"/>
      <c r="G8" s="2"/>
      <c r="H8" s="2"/>
      <c r="I8" s="2"/>
    </row>
    <row r="9" spans="2:9">
      <c r="B9" s="2"/>
      <c r="C9" s="2" t="s">
        <v>10</v>
      </c>
      <c r="D9" s="6">
        <v>10500</v>
      </c>
      <c r="E9" s="2"/>
      <c r="F9" s="2"/>
      <c r="G9" s="2"/>
      <c r="H9" s="2"/>
      <c r="I9" s="2"/>
    </row>
    <row r="10" spans="2:9">
      <c r="B10" s="2"/>
      <c r="C10" s="2" t="s">
        <v>11</v>
      </c>
      <c r="D10" s="6">
        <v>25000</v>
      </c>
      <c r="E10" s="2"/>
      <c r="F10" s="2"/>
      <c r="G10" s="2"/>
      <c r="H10" s="2"/>
      <c r="I10" s="2"/>
    </row>
    <row r="11" spans="2:9">
      <c r="B11" s="2"/>
      <c r="C11" s="2"/>
      <c r="D11" s="2"/>
      <c r="E11" s="2"/>
      <c r="F11" s="2"/>
      <c r="G11" s="2"/>
      <c r="H11" s="2"/>
      <c r="I11" s="2"/>
    </row>
    <row r="12" spans="2:9">
      <c r="B12" s="2"/>
      <c r="C12" s="3" t="s">
        <v>12</v>
      </c>
      <c r="D12" s="2">
        <f>SUM(D8:D9)</f>
        <v>510500</v>
      </c>
      <c r="E12" s="2"/>
      <c r="F12" s="2"/>
      <c r="G12" s="2"/>
      <c r="H12" s="2"/>
      <c r="I12" s="2"/>
    </row>
  </sheetData>
  <mergeCells count="1">
    <mergeCell ref="C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I8"/>
  <sheetViews>
    <sheetView workbookViewId="0">
      <selection activeCell="H7" sqref="H7"/>
    </sheetView>
  </sheetViews>
  <sheetFormatPr defaultRowHeight="15"/>
  <cols>
    <col min="4" max="4" width="9.85546875" customWidth="1"/>
    <col min="5" max="5" width="12.5703125" customWidth="1"/>
  </cols>
  <sheetData>
    <row r="2" spans="2:9" ht="15" customHeight="1">
      <c r="B2" s="2"/>
      <c r="C2" s="25" t="s">
        <v>13</v>
      </c>
      <c r="D2" s="25"/>
      <c r="E2" s="25"/>
      <c r="F2" s="25"/>
      <c r="G2" s="25"/>
      <c r="H2" s="25"/>
      <c r="I2" s="25"/>
    </row>
    <row r="3" spans="2:9">
      <c r="B3" s="2"/>
      <c r="C3" s="25"/>
      <c r="D3" s="25"/>
      <c r="E3" s="25"/>
      <c r="F3" s="25"/>
      <c r="G3" s="25"/>
      <c r="H3" s="25"/>
      <c r="I3" s="25"/>
    </row>
    <row r="4" spans="2:9">
      <c r="B4" s="2"/>
      <c r="C4" s="2"/>
      <c r="D4" s="2"/>
      <c r="E4" s="2"/>
      <c r="F4" s="2"/>
      <c r="G4" s="2"/>
      <c r="H4" s="2"/>
      <c r="I4" s="2"/>
    </row>
    <row r="5" spans="2:9" ht="18.75">
      <c r="B5" s="2"/>
      <c r="C5" s="3" t="s">
        <v>14</v>
      </c>
      <c r="D5" s="4" t="s">
        <v>7</v>
      </c>
      <c r="E5" s="4" t="s">
        <v>15</v>
      </c>
      <c r="F5" s="8" t="s">
        <v>8</v>
      </c>
      <c r="G5" s="2"/>
      <c r="H5" s="2"/>
      <c r="I5" s="2"/>
    </row>
    <row r="6" spans="2:9">
      <c r="B6" s="2"/>
      <c r="C6" s="2" t="s">
        <v>16</v>
      </c>
      <c r="D6" s="6">
        <v>90</v>
      </c>
      <c r="E6" s="6">
        <v>1000</v>
      </c>
      <c r="F6" s="9">
        <f>AVERAGEIFS(E6:E8,D6:D8,"&gt;100",D6:D8, "&lt;300")</f>
        <v>1350</v>
      </c>
      <c r="G6" s="2"/>
      <c r="H6" s="2"/>
      <c r="I6" s="2"/>
    </row>
    <row r="7" spans="2:9">
      <c r="B7" s="2"/>
      <c r="C7" s="2" t="s">
        <v>17</v>
      </c>
      <c r="D7" s="6">
        <v>150</v>
      </c>
      <c r="E7" s="6">
        <v>1200</v>
      </c>
      <c r="F7" s="2"/>
      <c r="G7" s="2"/>
      <c r="H7" s="2"/>
      <c r="I7" s="2"/>
    </row>
    <row r="8" spans="2:9">
      <c r="B8" s="2"/>
      <c r="C8" s="2" t="s">
        <v>18</v>
      </c>
      <c r="D8" s="6">
        <v>250</v>
      </c>
      <c r="E8" s="6">
        <v>1500</v>
      </c>
      <c r="F8" s="2"/>
      <c r="G8" s="2"/>
      <c r="H8" s="2"/>
      <c r="I8" s="2"/>
    </row>
  </sheetData>
  <mergeCells count="1">
    <mergeCell ref="C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selection activeCell="K4" sqref="K4"/>
    </sheetView>
  </sheetViews>
  <sheetFormatPr defaultRowHeight="15"/>
  <cols>
    <col min="2" max="2" width="16.42578125" customWidth="1"/>
    <col min="4" max="4" width="11" customWidth="1"/>
    <col min="7" max="7" width="11.28515625" customWidth="1"/>
  </cols>
  <sheetData>
    <row r="1" spans="1:13" ht="30.75" thickBot="1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</row>
    <row r="2" spans="1:13" ht="15.75" thickBot="1">
      <c r="A2" s="11">
        <v>1001</v>
      </c>
      <c r="B2" s="12" t="s">
        <v>26</v>
      </c>
      <c r="C2" s="12" t="s">
        <v>27</v>
      </c>
      <c r="D2" s="12" t="s">
        <v>28</v>
      </c>
      <c r="E2" s="11">
        <v>10</v>
      </c>
      <c r="F2" s="11">
        <v>50</v>
      </c>
      <c r="G2" s="13">
        <v>45413</v>
      </c>
      <c r="I2" s="2"/>
      <c r="J2" s="26" t="s">
        <v>111</v>
      </c>
      <c r="K2" s="26"/>
      <c r="L2" s="26"/>
      <c r="M2" s="26"/>
    </row>
    <row r="3" spans="1:13" ht="15.75" thickBot="1">
      <c r="A3" s="11">
        <v>1002</v>
      </c>
      <c r="B3" s="12" t="s">
        <v>29</v>
      </c>
      <c r="C3" s="12" t="s">
        <v>30</v>
      </c>
      <c r="D3" s="12" t="s">
        <v>31</v>
      </c>
      <c r="E3" s="11">
        <v>20</v>
      </c>
      <c r="F3" s="11">
        <v>10</v>
      </c>
      <c r="G3" s="13">
        <v>45444</v>
      </c>
      <c r="I3" s="27"/>
      <c r="J3" s="27"/>
      <c r="K3" s="2"/>
      <c r="L3" s="2"/>
      <c r="M3" s="2"/>
    </row>
    <row r="4" spans="1:13" ht="16.5" thickBot="1">
      <c r="A4" s="11">
        <v>1003</v>
      </c>
      <c r="B4" s="12" t="s">
        <v>32</v>
      </c>
      <c r="C4" s="12" t="s">
        <v>33</v>
      </c>
      <c r="D4" s="12" t="s">
        <v>34</v>
      </c>
      <c r="E4" s="11">
        <v>15</v>
      </c>
      <c r="F4" s="11">
        <v>25</v>
      </c>
      <c r="G4" s="13">
        <v>45474</v>
      </c>
      <c r="I4" s="2"/>
      <c r="J4" s="14" t="s">
        <v>112</v>
      </c>
      <c r="K4" s="15">
        <f>COUNTA(B2:B51)</f>
        <v>50</v>
      </c>
      <c r="L4" s="2"/>
      <c r="M4" s="2"/>
    </row>
    <row r="5" spans="1:13" ht="15.75" thickBot="1">
      <c r="A5" s="11">
        <v>1004</v>
      </c>
      <c r="B5" s="12" t="s">
        <v>35</v>
      </c>
      <c r="C5" s="12" t="s">
        <v>36</v>
      </c>
      <c r="D5" s="12" t="s">
        <v>28</v>
      </c>
      <c r="E5" s="11">
        <v>5</v>
      </c>
      <c r="F5" s="11">
        <v>50</v>
      </c>
      <c r="G5" s="13">
        <v>45505</v>
      </c>
    </row>
    <row r="6" spans="1:13" ht="15.75" thickBot="1">
      <c r="A6" s="11">
        <v>1005</v>
      </c>
      <c r="B6" s="12" t="s">
        <v>37</v>
      </c>
      <c r="C6" s="12" t="s">
        <v>27</v>
      </c>
      <c r="D6" s="12" t="s">
        <v>38</v>
      </c>
      <c r="E6" s="11">
        <v>30</v>
      </c>
      <c r="F6" s="11">
        <v>5</v>
      </c>
      <c r="G6" s="13">
        <v>45566</v>
      </c>
    </row>
    <row r="7" spans="1:13" ht="15.75" thickBot="1">
      <c r="A7" s="11">
        <v>1006</v>
      </c>
      <c r="B7" s="12" t="s">
        <v>39</v>
      </c>
      <c r="C7" s="12" t="s">
        <v>30</v>
      </c>
      <c r="D7" s="12" t="s">
        <v>28</v>
      </c>
      <c r="E7" s="11">
        <v>12</v>
      </c>
      <c r="F7" s="11">
        <v>50</v>
      </c>
      <c r="G7" s="13">
        <v>45597</v>
      </c>
    </row>
    <row r="8" spans="1:13" ht="15.75" thickBot="1">
      <c r="A8" s="11">
        <v>1007</v>
      </c>
      <c r="B8" s="12" t="s">
        <v>40</v>
      </c>
      <c r="C8" s="12" t="s">
        <v>33</v>
      </c>
      <c r="D8" s="12" t="s">
        <v>41</v>
      </c>
      <c r="E8" s="11">
        <v>25</v>
      </c>
      <c r="F8" s="11">
        <v>8</v>
      </c>
      <c r="G8" s="11" t="s">
        <v>42</v>
      </c>
    </row>
    <row r="9" spans="1:13" ht="15.75" thickBot="1">
      <c r="A9" s="11">
        <v>1008</v>
      </c>
      <c r="B9" s="12" t="s">
        <v>43</v>
      </c>
      <c r="C9" s="12" t="s">
        <v>36</v>
      </c>
      <c r="D9" s="12" t="s">
        <v>31</v>
      </c>
      <c r="E9" s="11">
        <v>18</v>
      </c>
      <c r="F9" s="11">
        <v>10</v>
      </c>
      <c r="G9" s="11" t="s">
        <v>44</v>
      </c>
    </row>
    <row r="10" spans="1:13" ht="15.75" thickBot="1">
      <c r="A10" s="11">
        <v>1009</v>
      </c>
      <c r="B10" s="12" t="s">
        <v>45</v>
      </c>
      <c r="C10" s="12" t="s">
        <v>27</v>
      </c>
      <c r="D10" s="12" t="s">
        <v>34</v>
      </c>
      <c r="E10" s="11">
        <v>22</v>
      </c>
      <c r="F10" s="11">
        <v>25</v>
      </c>
      <c r="G10" s="11" t="s">
        <v>46</v>
      </c>
    </row>
    <row r="11" spans="1:13" ht="15.75" thickBot="1">
      <c r="A11" s="11">
        <v>1010</v>
      </c>
      <c r="B11" s="12" t="s">
        <v>47</v>
      </c>
      <c r="C11" s="12" t="s">
        <v>30</v>
      </c>
      <c r="D11" s="12" t="s">
        <v>28</v>
      </c>
      <c r="E11" s="11">
        <v>8</v>
      </c>
      <c r="F11" s="11">
        <v>50</v>
      </c>
      <c r="G11" s="11" t="s">
        <v>48</v>
      </c>
    </row>
    <row r="12" spans="1:13" ht="15.75" thickBot="1">
      <c r="A12" s="11">
        <v>1011</v>
      </c>
      <c r="B12" s="12" t="s">
        <v>49</v>
      </c>
      <c r="C12" s="12" t="s">
        <v>33</v>
      </c>
      <c r="D12" s="12" t="s">
        <v>38</v>
      </c>
      <c r="E12" s="11">
        <v>40</v>
      </c>
      <c r="F12" s="11">
        <v>5</v>
      </c>
      <c r="G12" s="11" t="s">
        <v>50</v>
      </c>
    </row>
    <row r="13" spans="1:13" ht="15.75" thickBot="1">
      <c r="A13" s="11">
        <v>1012</v>
      </c>
      <c r="B13" s="12" t="s">
        <v>51</v>
      </c>
      <c r="C13" s="12" t="s">
        <v>36</v>
      </c>
      <c r="D13" s="12" t="s">
        <v>41</v>
      </c>
      <c r="E13" s="11">
        <v>35</v>
      </c>
      <c r="F13" s="11">
        <v>8</v>
      </c>
      <c r="G13" s="11" t="s">
        <v>52</v>
      </c>
    </row>
    <row r="14" spans="1:13" ht="15.75" thickBot="1">
      <c r="A14" s="11">
        <v>1013</v>
      </c>
      <c r="B14" s="12" t="s">
        <v>53</v>
      </c>
      <c r="C14" s="12" t="s">
        <v>27</v>
      </c>
      <c r="D14" s="12" t="s">
        <v>28</v>
      </c>
      <c r="E14" s="11">
        <v>14</v>
      </c>
      <c r="F14" s="11">
        <v>50</v>
      </c>
      <c r="G14" s="11" t="s">
        <v>54</v>
      </c>
    </row>
    <row r="15" spans="1:13" ht="15.75" thickBot="1">
      <c r="A15" s="11">
        <v>1014</v>
      </c>
      <c r="B15" s="12" t="s">
        <v>55</v>
      </c>
      <c r="C15" s="12" t="s">
        <v>30</v>
      </c>
      <c r="D15" s="12" t="s">
        <v>31</v>
      </c>
      <c r="E15" s="11">
        <v>28</v>
      </c>
      <c r="F15" s="11">
        <v>10</v>
      </c>
      <c r="G15" s="11" t="s">
        <v>56</v>
      </c>
    </row>
    <row r="16" spans="1:13" ht="15.75" thickBot="1">
      <c r="A16" s="11">
        <v>1015</v>
      </c>
      <c r="B16" s="12" t="s">
        <v>57</v>
      </c>
      <c r="C16" s="12" t="s">
        <v>33</v>
      </c>
      <c r="D16" s="12" t="s">
        <v>34</v>
      </c>
      <c r="E16" s="11">
        <v>12</v>
      </c>
      <c r="F16" s="11">
        <v>25</v>
      </c>
      <c r="G16" s="11" t="s">
        <v>58</v>
      </c>
    </row>
    <row r="17" spans="1:7" ht="15.75" thickBot="1">
      <c r="A17" s="11">
        <v>1016</v>
      </c>
      <c r="B17" s="12" t="s">
        <v>59</v>
      </c>
      <c r="C17" s="12" t="s">
        <v>36</v>
      </c>
      <c r="D17" s="12" t="s">
        <v>38</v>
      </c>
      <c r="E17" s="11">
        <v>25</v>
      </c>
      <c r="F17" s="11">
        <v>5</v>
      </c>
      <c r="G17" s="11" t="s">
        <v>60</v>
      </c>
    </row>
    <row r="18" spans="1:7" ht="15.75" thickBot="1">
      <c r="A18" s="11">
        <v>1017</v>
      </c>
      <c r="B18" s="12" t="s">
        <v>61</v>
      </c>
      <c r="C18" s="12" t="s">
        <v>27</v>
      </c>
      <c r="D18" s="12" t="s">
        <v>41</v>
      </c>
      <c r="E18" s="11">
        <v>20</v>
      </c>
      <c r="F18" s="11">
        <v>8</v>
      </c>
      <c r="G18" s="11" t="s">
        <v>62</v>
      </c>
    </row>
    <row r="19" spans="1:7" ht="15.75" thickBot="1">
      <c r="A19" s="11">
        <v>1018</v>
      </c>
      <c r="B19" s="12" t="s">
        <v>63</v>
      </c>
      <c r="C19" s="12" t="s">
        <v>30</v>
      </c>
      <c r="D19" s="12" t="s">
        <v>28</v>
      </c>
      <c r="E19" s="11">
        <v>10</v>
      </c>
      <c r="F19" s="11">
        <v>50</v>
      </c>
      <c r="G19" s="11" t="s">
        <v>64</v>
      </c>
    </row>
    <row r="20" spans="1:7" ht="15.75" thickBot="1">
      <c r="A20" s="11">
        <v>1019</v>
      </c>
      <c r="B20" s="12" t="s">
        <v>65</v>
      </c>
      <c r="C20" s="12" t="s">
        <v>33</v>
      </c>
      <c r="D20" s="12" t="s">
        <v>31</v>
      </c>
      <c r="E20" s="11">
        <v>15</v>
      </c>
      <c r="F20" s="11">
        <v>10</v>
      </c>
      <c r="G20" s="11" t="s">
        <v>66</v>
      </c>
    </row>
    <row r="21" spans="1:7" ht="15.75" thickBot="1">
      <c r="A21" s="11">
        <v>1020</v>
      </c>
      <c r="B21" s="12" t="s">
        <v>67</v>
      </c>
      <c r="C21" s="12" t="s">
        <v>36</v>
      </c>
      <c r="D21" s="12" t="s">
        <v>34</v>
      </c>
      <c r="E21" s="11">
        <v>18</v>
      </c>
      <c r="F21" s="11">
        <v>25</v>
      </c>
      <c r="G21" s="13">
        <v>45293</v>
      </c>
    </row>
    <row r="22" spans="1:7" ht="15.75" thickBot="1">
      <c r="A22" s="11">
        <v>1021</v>
      </c>
      <c r="B22" s="12" t="s">
        <v>68</v>
      </c>
      <c r="C22" s="12" t="s">
        <v>27</v>
      </c>
      <c r="D22" s="12" t="s">
        <v>28</v>
      </c>
      <c r="E22" s="11">
        <v>9</v>
      </c>
      <c r="F22" s="11">
        <v>50</v>
      </c>
      <c r="G22" s="13">
        <v>45324</v>
      </c>
    </row>
    <row r="23" spans="1:7" ht="15.75" thickBot="1">
      <c r="A23" s="11">
        <v>1022</v>
      </c>
      <c r="B23" s="12" t="s">
        <v>69</v>
      </c>
      <c r="C23" s="12" t="s">
        <v>30</v>
      </c>
      <c r="D23" s="12" t="s">
        <v>38</v>
      </c>
      <c r="E23" s="11">
        <v>35</v>
      </c>
      <c r="F23" s="11">
        <v>5</v>
      </c>
      <c r="G23" s="13">
        <v>45353</v>
      </c>
    </row>
    <row r="24" spans="1:7" ht="15.75" thickBot="1">
      <c r="A24" s="11">
        <v>1023</v>
      </c>
      <c r="B24" s="12" t="s">
        <v>70</v>
      </c>
      <c r="C24" s="12" t="s">
        <v>33</v>
      </c>
      <c r="D24" s="12" t="s">
        <v>41</v>
      </c>
      <c r="E24" s="11">
        <v>30</v>
      </c>
      <c r="F24" s="11">
        <v>8</v>
      </c>
      <c r="G24" s="13">
        <v>45384</v>
      </c>
    </row>
    <row r="25" spans="1:7" ht="15.75" thickBot="1">
      <c r="A25" s="11">
        <v>1024</v>
      </c>
      <c r="B25" s="12" t="s">
        <v>71</v>
      </c>
      <c r="C25" s="12" t="s">
        <v>36</v>
      </c>
      <c r="D25" s="12" t="s">
        <v>28</v>
      </c>
      <c r="E25" s="11">
        <v>11</v>
      </c>
      <c r="F25" s="11">
        <v>50</v>
      </c>
      <c r="G25" s="13">
        <v>45445</v>
      </c>
    </row>
    <row r="26" spans="1:7" ht="15.75" thickBot="1">
      <c r="A26" s="11">
        <v>1025</v>
      </c>
      <c r="B26" s="12" t="s">
        <v>72</v>
      </c>
      <c r="C26" s="12" t="s">
        <v>27</v>
      </c>
      <c r="D26" s="12" t="s">
        <v>31</v>
      </c>
      <c r="E26" s="11">
        <v>14</v>
      </c>
      <c r="F26" s="11">
        <v>10</v>
      </c>
      <c r="G26" s="13">
        <v>45475</v>
      </c>
    </row>
    <row r="27" spans="1:7" ht="15.75" thickBot="1">
      <c r="A27" s="11">
        <v>1026</v>
      </c>
      <c r="B27" s="12" t="s">
        <v>73</v>
      </c>
      <c r="C27" s="12" t="s">
        <v>30</v>
      </c>
      <c r="D27" s="12" t="s">
        <v>34</v>
      </c>
      <c r="E27" s="11">
        <v>16</v>
      </c>
      <c r="F27" s="11">
        <v>25</v>
      </c>
      <c r="G27" s="13">
        <v>45506</v>
      </c>
    </row>
    <row r="28" spans="1:7" ht="15.75" thickBot="1">
      <c r="A28" s="11">
        <v>1027</v>
      </c>
      <c r="B28" s="12" t="s">
        <v>74</v>
      </c>
      <c r="C28" s="12" t="s">
        <v>33</v>
      </c>
      <c r="D28" s="12" t="s">
        <v>38</v>
      </c>
      <c r="E28" s="11">
        <v>22</v>
      </c>
      <c r="F28" s="11">
        <v>5</v>
      </c>
      <c r="G28" s="13">
        <v>45537</v>
      </c>
    </row>
    <row r="29" spans="1:7" ht="15.75" thickBot="1">
      <c r="A29" s="11">
        <v>1028</v>
      </c>
      <c r="B29" s="12" t="s">
        <v>75</v>
      </c>
      <c r="C29" s="12" t="s">
        <v>36</v>
      </c>
      <c r="D29" s="12" t="s">
        <v>41</v>
      </c>
      <c r="E29" s="11">
        <v>27</v>
      </c>
      <c r="F29" s="11">
        <v>8</v>
      </c>
      <c r="G29" s="13">
        <v>45567</v>
      </c>
    </row>
    <row r="30" spans="1:7" ht="15.75" thickBot="1">
      <c r="A30" s="11">
        <v>1029</v>
      </c>
      <c r="B30" s="12" t="s">
        <v>76</v>
      </c>
      <c r="C30" s="12" t="s">
        <v>27</v>
      </c>
      <c r="D30" s="12" t="s">
        <v>28</v>
      </c>
      <c r="E30" s="11">
        <v>13</v>
      </c>
      <c r="F30" s="11">
        <v>50</v>
      </c>
      <c r="G30" s="13">
        <v>45628</v>
      </c>
    </row>
    <row r="31" spans="1:7" ht="15.75" thickBot="1">
      <c r="A31" s="11">
        <v>1030</v>
      </c>
      <c r="B31" s="12" t="s">
        <v>77</v>
      </c>
      <c r="C31" s="12" t="s">
        <v>30</v>
      </c>
      <c r="D31" s="12" t="s">
        <v>31</v>
      </c>
      <c r="E31" s="11">
        <v>32</v>
      </c>
      <c r="F31" s="11">
        <v>10</v>
      </c>
      <c r="G31" s="11" t="s">
        <v>78</v>
      </c>
    </row>
    <row r="32" spans="1:7" ht="15.75" thickBot="1">
      <c r="A32" s="11">
        <v>1031</v>
      </c>
      <c r="B32" s="12" t="s">
        <v>79</v>
      </c>
      <c r="C32" s="12" t="s">
        <v>33</v>
      </c>
      <c r="D32" s="12" t="s">
        <v>34</v>
      </c>
      <c r="E32" s="11">
        <v>10</v>
      </c>
      <c r="F32" s="11">
        <v>25</v>
      </c>
      <c r="G32" s="11" t="s">
        <v>80</v>
      </c>
    </row>
    <row r="33" spans="1:7" ht="15.75" thickBot="1">
      <c r="A33" s="11">
        <v>1032</v>
      </c>
      <c r="B33" s="12" t="s">
        <v>81</v>
      </c>
      <c r="C33" s="12" t="s">
        <v>36</v>
      </c>
      <c r="D33" s="12" t="s">
        <v>38</v>
      </c>
      <c r="E33" s="11">
        <v>18</v>
      </c>
      <c r="F33" s="11">
        <v>5</v>
      </c>
      <c r="G33" s="11" t="s">
        <v>82</v>
      </c>
    </row>
    <row r="34" spans="1:7" ht="15.75" thickBot="1">
      <c r="A34" s="11">
        <v>1033</v>
      </c>
      <c r="B34" s="12" t="s">
        <v>83</v>
      </c>
      <c r="C34" s="12" t="s">
        <v>27</v>
      </c>
      <c r="D34" s="12" t="s">
        <v>41</v>
      </c>
      <c r="E34" s="11">
        <v>22</v>
      </c>
      <c r="F34" s="11">
        <v>8</v>
      </c>
      <c r="G34" s="11" t="s">
        <v>84</v>
      </c>
    </row>
    <row r="35" spans="1:7" ht="15.75" thickBot="1">
      <c r="A35" s="11">
        <v>1034</v>
      </c>
      <c r="B35" s="12" t="s">
        <v>85</v>
      </c>
      <c r="C35" s="12" t="s">
        <v>30</v>
      </c>
      <c r="D35" s="12" t="s">
        <v>28</v>
      </c>
      <c r="E35" s="11">
        <v>17</v>
      </c>
      <c r="F35" s="11">
        <v>50</v>
      </c>
      <c r="G35" s="11" t="s">
        <v>86</v>
      </c>
    </row>
    <row r="36" spans="1:7" ht="15.75" thickBot="1">
      <c r="A36" s="11">
        <v>1035</v>
      </c>
      <c r="B36" s="12" t="s">
        <v>87</v>
      </c>
      <c r="C36" s="12" t="s">
        <v>33</v>
      </c>
      <c r="D36" s="12" t="s">
        <v>31</v>
      </c>
      <c r="E36" s="11">
        <v>19</v>
      </c>
      <c r="F36" s="11">
        <v>10</v>
      </c>
      <c r="G36" s="11" t="s">
        <v>88</v>
      </c>
    </row>
    <row r="37" spans="1:7" ht="15.75" thickBot="1">
      <c r="A37" s="11">
        <v>1036</v>
      </c>
      <c r="B37" s="12" t="s">
        <v>89</v>
      </c>
      <c r="C37" s="12" t="s">
        <v>36</v>
      </c>
      <c r="D37" s="12" t="s">
        <v>34</v>
      </c>
      <c r="E37" s="11">
        <v>15</v>
      </c>
      <c r="F37" s="11">
        <v>25</v>
      </c>
      <c r="G37" s="11" t="s">
        <v>90</v>
      </c>
    </row>
    <row r="38" spans="1:7" ht="15.75" thickBot="1">
      <c r="A38" s="11">
        <v>1037</v>
      </c>
      <c r="B38" s="12" t="s">
        <v>91</v>
      </c>
      <c r="C38" s="12" t="s">
        <v>27</v>
      </c>
      <c r="D38" s="12" t="s">
        <v>38</v>
      </c>
      <c r="E38" s="11">
        <v>28</v>
      </c>
      <c r="F38" s="11">
        <v>5</v>
      </c>
      <c r="G38" s="11" t="s">
        <v>92</v>
      </c>
    </row>
    <row r="39" spans="1:7" ht="15.75" thickBot="1">
      <c r="A39" s="11">
        <v>1038</v>
      </c>
      <c r="B39" s="12" t="s">
        <v>93</v>
      </c>
      <c r="C39" s="12" t="s">
        <v>30</v>
      </c>
      <c r="D39" s="12" t="s">
        <v>41</v>
      </c>
      <c r="E39" s="11">
        <v>24</v>
      </c>
      <c r="F39" s="11">
        <v>8</v>
      </c>
      <c r="G39" s="11" t="s">
        <v>94</v>
      </c>
    </row>
    <row r="40" spans="1:7" ht="15.75" thickBot="1">
      <c r="A40" s="11">
        <v>1039</v>
      </c>
      <c r="B40" s="12" t="s">
        <v>95</v>
      </c>
      <c r="C40" s="12" t="s">
        <v>33</v>
      </c>
      <c r="D40" s="12" t="s">
        <v>28</v>
      </c>
      <c r="E40" s="11">
        <v>16</v>
      </c>
      <c r="F40" s="11">
        <v>50</v>
      </c>
      <c r="G40" s="11" t="s">
        <v>96</v>
      </c>
    </row>
    <row r="41" spans="1:7" ht="15.75" thickBot="1">
      <c r="A41" s="11">
        <v>1040</v>
      </c>
      <c r="B41" s="12" t="s">
        <v>97</v>
      </c>
      <c r="C41" s="12" t="s">
        <v>36</v>
      </c>
      <c r="D41" s="12" t="s">
        <v>31</v>
      </c>
      <c r="E41" s="11">
        <v>27</v>
      </c>
      <c r="F41" s="11">
        <v>10</v>
      </c>
      <c r="G41" s="11" t="s">
        <v>98</v>
      </c>
    </row>
    <row r="42" spans="1:7" ht="15.75" thickBot="1">
      <c r="A42" s="11">
        <v>1041</v>
      </c>
      <c r="B42" s="12" t="s">
        <v>99</v>
      </c>
      <c r="C42" s="12" t="s">
        <v>27</v>
      </c>
      <c r="D42" s="12" t="s">
        <v>34</v>
      </c>
      <c r="E42" s="11">
        <v>21</v>
      </c>
      <c r="F42" s="11">
        <v>25</v>
      </c>
      <c r="G42" s="11" t="s">
        <v>100</v>
      </c>
    </row>
    <row r="43" spans="1:7" ht="15.75" thickBot="1">
      <c r="A43" s="11">
        <v>1042</v>
      </c>
      <c r="B43" s="12" t="s">
        <v>101</v>
      </c>
      <c r="C43" s="12" t="s">
        <v>30</v>
      </c>
      <c r="D43" s="12" t="s">
        <v>38</v>
      </c>
      <c r="E43" s="11">
        <v>30</v>
      </c>
      <c r="F43" s="11">
        <v>5</v>
      </c>
      <c r="G43" s="11" t="s">
        <v>102</v>
      </c>
    </row>
    <row r="44" spans="1:7" ht="15.75" thickBot="1">
      <c r="A44" s="11">
        <v>1043</v>
      </c>
      <c r="B44" s="12" t="s">
        <v>103</v>
      </c>
      <c r="C44" s="12" t="s">
        <v>33</v>
      </c>
      <c r="D44" s="12" t="s">
        <v>41</v>
      </c>
      <c r="E44" s="11">
        <v>26</v>
      </c>
      <c r="F44" s="11">
        <v>8</v>
      </c>
      <c r="G44" s="13">
        <v>45294</v>
      </c>
    </row>
    <row r="45" spans="1:7" ht="15.75" thickBot="1">
      <c r="A45" s="11">
        <v>1044</v>
      </c>
      <c r="B45" s="12" t="s">
        <v>104</v>
      </c>
      <c r="C45" s="12" t="s">
        <v>36</v>
      </c>
      <c r="D45" s="12" t="s">
        <v>28</v>
      </c>
      <c r="E45" s="11">
        <v>14</v>
      </c>
      <c r="F45" s="11">
        <v>50</v>
      </c>
      <c r="G45" s="13">
        <v>45325</v>
      </c>
    </row>
    <row r="46" spans="1:7" ht="15.75" thickBot="1">
      <c r="A46" s="11">
        <v>1045</v>
      </c>
      <c r="B46" s="12" t="s">
        <v>105</v>
      </c>
      <c r="C46" s="12" t="s">
        <v>27</v>
      </c>
      <c r="D46" s="12" t="s">
        <v>31</v>
      </c>
      <c r="E46" s="11">
        <v>20</v>
      </c>
      <c r="F46" s="11">
        <v>10</v>
      </c>
      <c r="G46" s="13">
        <v>45354</v>
      </c>
    </row>
    <row r="47" spans="1:7" ht="15.75" thickBot="1">
      <c r="A47" s="11">
        <v>1046</v>
      </c>
      <c r="B47" s="12" t="s">
        <v>106</v>
      </c>
      <c r="C47" s="12" t="s">
        <v>30</v>
      </c>
      <c r="D47" s="12" t="s">
        <v>34</v>
      </c>
      <c r="E47" s="11">
        <v>17</v>
      </c>
      <c r="F47" s="11">
        <v>25</v>
      </c>
      <c r="G47" s="13">
        <v>45385</v>
      </c>
    </row>
    <row r="48" spans="1:7" ht="15.75" thickBot="1">
      <c r="A48" s="11">
        <v>1047</v>
      </c>
      <c r="B48" s="12" t="s">
        <v>107</v>
      </c>
      <c r="C48" s="12" t="s">
        <v>33</v>
      </c>
      <c r="D48" s="12" t="s">
        <v>38</v>
      </c>
      <c r="E48" s="11">
        <v>19</v>
      </c>
      <c r="F48" s="11">
        <v>5</v>
      </c>
      <c r="G48" s="13">
        <v>45415</v>
      </c>
    </row>
    <row r="49" spans="1:7" ht="15.75" thickBot="1">
      <c r="A49" s="11">
        <v>1048</v>
      </c>
      <c r="B49" s="12" t="s">
        <v>108</v>
      </c>
      <c r="C49" s="12" t="s">
        <v>36</v>
      </c>
      <c r="D49" s="12" t="s">
        <v>41</v>
      </c>
      <c r="E49" s="11">
        <v>32</v>
      </c>
      <c r="F49" s="11">
        <v>8</v>
      </c>
      <c r="G49" s="13">
        <v>45446</v>
      </c>
    </row>
    <row r="50" spans="1:7" ht="15.75" thickBot="1">
      <c r="A50" s="11">
        <v>1049</v>
      </c>
      <c r="B50" s="12" t="s">
        <v>109</v>
      </c>
      <c r="C50" s="12" t="s">
        <v>27</v>
      </c>
      <c r="D50" s="12" t="s">
        <v>28</v>
      </c>
      <c r="E50" s="11">
        <v>12</v>
      </c>
      <c r="F50" s="11">
        <v>50</v>
      </c>
      <c r="G50" s="13">
        <v>45476</v>
      </c>
    </row>
    <row r="51" spans="1:7" ht="15.75" thickBot="1">
      <c r="A51" s="11">
        <v>1050</v>
      </c>
      <c r="B51" s="12" t="s">
        <v>110</v>
      </c>
      <c r="C51" s="12" t="s">
        <v>30</v>
      </c>
      <c r="D51" s="12" t="s">
        <v>31</v>
      </c>
      <c r="E51" s="11">
        <v>25</v>
      </c>
      <c r="F51" s="11">
        <v>10</v>
      </c>
      <c r="G51" s="13">
        <v>45507</v>
      </c>
    </row>
  </sheetData>
  <mergeCells count="2">
    <mergeCell ref="J2:M2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>
      <selection activeCell="M21" sqref="M21"/>
    </sheetView>
  </sheetViews>
  <sheetFormatPr defaultRowHeight="15"/>
  <cols>
    <col min="2" max="2" width="18.140625" customWidth="1"/>
    <col min="4" max="4" width="14" customWidth="1"/>
    <col min="7" max="7" width="15" customWidth="1"/>
    <col min="8" max="8" width="11.7109375" customWidth="1"/>
  </cols>
  <sheetData>
    <row r="1" spans="1:8">
      <c r="A1" s="28" t="s">
        <v>113</v>
      </c>
      <c r="B1" s="22"/>
      <c r="C1" s="22"/>
      <c r="D1" s="22"/>
      <c r="E1" s="22"/>
      <c r="F1" s="22"/>
    </row>
    <row r="2" spans="1:8" ht="15.75" thickBot="1">
      <c r="A2" s="29"/>
      <c r="B2" s="29"/>
      <c r="C2" s="29"/>
      <c r="D2" s="29"/>
      <c r="E2" s="29"/>
      <c r="F2" s="29"/>
    </row>
    <row r="3" spans="1:8" ht="15.75" customHeight="1" thickBot="1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8" t="s">
        <v>8</v>
      </c>
    </row>
    <row r="4" spans="1:8" ht="15.75" thickBot="1">
      <c r="A4" s="11">
        <v>1001</v>
      </c>
      <c r="B4" s="12" t="s">
        <v>26</v>
      </c>
      <c r="C4" s="12" t="s">
        <v>27</v>
      </c>
      <c r="D4" s="12" t="s">
        <v>28</v>
      </c>
      <c r="E4" s="11">
        <v>10</v>
      </c>
      <c r="F4" s="11">
        <v>50</v>
      </c>
      <c r="G4" s="17">
        <v>45413</v>
      </c>
      <c r="H4" s="19">
        <f>PRODUCT(E4*F4)</f>
        <v>500</v>
      </c>
    </row>
    <row r="5" spans="1:8" ht="15.75" thickBot="1">
      <c r="A5" s="11">
        <v>1002</v>
      </c>
      <c r="B5" s="12" t="s">
        <v>29</v>
      </c>
      <c r="C5" s="12" t="s">
        <v>30</v>
      </c>
      <c r="D5" s="12" t="s">
        <v>31</v>
      </c>
      <c r="E5" s="11">
        <v>20</v>
      </c>
      <c r="F5" s="11">
        <v>10</v>
      </c>
      <c r="G5" s="13">
        <v>45444</v>
      </c>
      <c r="H5" s="19">
        <f t="shared" ref="H5:H53" si="0">PRODUCT(E5*F5)</f>
        <v>200</v>
      </c>
    </row>
    <row r="6" spans="1:8" ht="15.75" thickBot="1">
      <c r="A6" s="11">
        <v>1003</v>
      </c>
      <c r="B6" s="12" t="s">
        <v>32</v>
      </c>
      <c r="C6" s="12" t="s">
        <v>33</v>
      </c>
      <c r="D6" s="12" t="s">
        <v>34</v>
      </c>
      <c r="E6" s="11">
        <v>15</v>
      </c>
      <c r="F6" s="11">
        <v>25</v>
      </c>
      <c r="G6" s="13">
        <v>45474</v>
      </c>
      <c r="H6" s="19">
        <f t="shared" si="0"/>
        <v>375</v>
      </c>
    </row>
    <row r="7" spans="1:8" ht="15.75" thickBot="1">
      <c r="A7" s="11">
        <v>1004</v>
      </c>
      <c r="B7" s="12" t="s">
        <v>35</v>
      </c>
      <c r="C7" s="12" t="s">
        <v>36</v>
      </c>
      <c r="D7" s="12" t="s">
        <v>28</v>
      </c>
      <c r="E7" s="11">
        <v>5</v>
      </c>
      <c r="F7" s="11">
        <v>50</v>
      </c>
      <c r="G7" s="13">
        <v>45505</v>
      </c>
      <c r="H7" s="19">
        <f t="shared" si="0"/>
        <v>250</v>
      </c>
    </row>
    <row r="8" spans="1:8" ht="15.75" customHeight="1" thickBot="1">
      <c r="A8" s="11">
        <v>1005</v>
      </c>
      <c r="B8" s="12" t="s">
        <v>37</v>
      </c>
      <c r="C8" s="12" t="s">
        <v>27</v>
      </c>
      <c r="D8" s="12" t="s">
        <v>38</v>
      </c>
      <c r="E8" s="11">
        <v>30</v>
      </c>
      <c r="F8" s="11">
        <v>5</v>
      </c>
      <c r="G8" s="13">
        <v>45566</v>
      </c>
      <c r="H8" s="19">
        <f t="shared" si="0"/>
        <v>150</v>
      </c>
    </row>
    <row r="9" spans="1:8" ht="15.75" customHeight="1" thickBot="1">
      <c r="A9" s="11">
        <v>1006</v>
      </c>
      <c r="B9" s="12" t="s">
        <v>39</v>
      </c>
      <c r="C9" s="12" t="s">
        <v>30</v>
      </c>
      <c r="D9" s="12" t="s">
        <v>28</v>
      </c>
      <c r="E9" s="11">
        <v>12</v>
      </c>
      <c r="F9" s="11">
        <v>50</v>
      </c>
      <c r="G9" s="13">
        <v>45597</v>
      </c>
      <c r="H9" s="19">
        <f t="shared" si="0"/>
        <v>600</v>
      </c>
    </row>
    <row r="10" spans="1:8" ht="15.75" customHeight="1" thickBot="1">
      <c r="A10" s="11">
        <v>1007</v>
      </c>
      <c r="B10" s="12" t="s">
        <v>40</v>
      </c>
      <c r="C10" s="12" t="s">
        <v>33</v>
      </c>
      <c r="D10" s="12" t="s">
        <v>41</v>
      </c>
      <c r="E10" s="11">
        <v>25</v>
      </c>
      <c r="F10" s="11">
        <v>8</v>
      </c>
      <c r="G10" s="11" t="s">
        <v>42</v>
      </c>
      <c r="H10" s="19">
        <f t="shared" si="0"/>
        <v>200</v>
      </c>
    </row>
    <row r="11" spans="1:8" ht="15.75" customHeight="1" thickBot="1">
      <c r="A11" s="11">
        <v>1008</v>
      </c>
      <c r="B11" s="12" t="s">
        <v>43</v>
      </c>
      <c r="C11" s="12" t="s">
        <v>36</v>
      </c>
      <c r="D11" s="12" t="s">
        <v>31</v>
      </c>
      <c r="E11" s="11">
        <v>18</v>
      </c>
      <c r="F11" s="11">
        <v>10</v>
      </c>
      <c r="G11" s="11" t="s">
        <v>44</v>
      </c>
      <c r="H11" s="19">
        <f t="shared" si="0"/>
        <v>180</v>
      </c>
    </row>
    <row r="12" spans="1:8" ht="15.75" customHeight="1" thickBot="1">
      <c r="A12" s="11">
        <v>1009</v>
      </c>
      <c r="B12" s="12" t="s">
        <v>45</v>
      </c>
      <c r="C12" s="12" t="s">
        <v>27</v>
      </c>
      <c r="D12" s="12" t="s">
        <v>34</v>
      </c>
      <c r="E12" s="11">
        <v>22</v>
      </c>
      <c r="F12" s="11">
        <v>25</v>
      </c>
      <c r="G12" s="11" t="s">
        <v>46</v>
      </c>
      <c r="H12" s="19">
        <f t="shared" si="0"/>
        <v>550</v>
      </c>
    </row>
    <row r="13" spans="1:8" ht="15.75" customHeight="1" thickBot="1">
      <c r="A13" s="11">
        <v>1010</v>
      </c>
      <c r="B13" s="12" t="s">
        <v>47</v>
      </c>
      <c r="C13" s="12" t="s">
        <v>30</v>
      </c>
      <c r="D13" s="12" t="s">
        <v>28</v>
      </c>
      <c r="E13" s="11">
        <v>8</v>
      </c>
      <c r="F13" s="11">
        <v>50</v>
      </c>
      <c r="G13" s="11" t="s">
        <v>48</v>
      </c>
      <c r="H13" s="19">
        <f t="shared" si="0"/>
        <v>400</v>
      </c>
    </row>
    <row r="14" spans="1:8" ht="15.75" customHeight="1" thickBot="1">
      <c r="A14" s="11">
        <v>1011</v>
      </c>
      <c r="B14" s="12" t="s">
        <v>49</v>
      </c>
      <c r="C14" s="12" t="s">
        <v>33</v>
      </c>
      <c r="D14" s="12" t="s">
        <v>38</v>
      </c>
      <c r="E14" s="11">
        <v>40</v>
      </c>
      <c r="F14" s="11">
        <v>5</v>
      </c>
      <c r="G14" s="11" t="s">
        <v>50</v>
      </c>
      <c r="H14" s="19">
        <f t="shared" si="0"/>
        <v>200</v>
      </c>
    </row>
    <row r="15" spans="1:8" ht="15.75" customHeight="1" thickBot="1">
      <c r="A15" s="11">
        <v>1012</v>
      </c>
      <c r="B15" s="12" t="s">
        <v>51</v>
      </c>
      <c r="C15" s="12" t="s">
        <v>36</v>
      </c>
      <c r="D15" s="12" t="s">
        <v>41</v>
      </c>
      <c r="E15" s="11">
        <v>35</v>
      </c>
      <c r="F15" s="11">
        <v>8</v>
      </c>
      <c r="G15" s="11" t="s">
        <v>52</v>
      </c>
      <c r="H15" s="19">
        <f t="shared" si="0"/>
        <v>280</v>
      </c>
    </row>
    <row r="16" spans="1:8" ht="15.75" customHeight="1" thickBot="1">
      <c r="A16" s="11">
        <v>1013</v>
      </c>
      <c r="B16" s="12" t="s">
        <v>53</v>
      </c>
      <c r="C16" s="12" t="s">
        <v>27</v>
      </c>
      <c r="D16" s="12" t="s">
        <v>28</v>
      </c>
      <c r="E16" s="11">
        <v>14</v>
      </c>
      <c r="F16" s="11">
        <v>50</v>
      </c>
      <c r="G16" s="11" t="s">
        <v>54</v>
      </c>
      <c r="H16" s="19">
        <f t="shared" si="0"/>
        <v>700</v>
      </c>
    </row>
    <row r="17" spans="1:8" ht="15.75" customHeight="1" thickBot="1">
      <c r="A17" s="11">
        <v>1014</v>
      </c>
      <c r="B17" s="12" t="s">
        <v>55</v>
      </c>
      <c r="C17" s="12" t="s">
        <v>30</v>
      </c>
      <c r="D17" s="12" t="s">
        <v>31</v>
      </c>
      <c r="E17" s="11">
        <v>28</v>
      </c>
      <c r="F17" s="11">
        <v>10</v>
      </c>
      <c r="G17" s="11" t="s">
        <v>56</v>
      </c>
      <c r="H17" s="19">
        <f t="shared" si="0"/>
        <v>280</v>
      </c>
    </row>
    <row r="18" spans="1:8" ht="15.75" customHeight="1" thickBot="1">
      <c r="A18" s="11">
        <v>1015</v>
      </c>
      <c r="B18" s="12" t="s">
        <v>57</v>
      </c>
      <c r="C18" s="12" t="s">
        <v>33</v>
      </c>
      <c r="D18" s="12" t="s">
        <v>34</v>
      </c>
      <c r="E18" s="11">
        <v>12</v>
      </c>
      <c r="F18" s="11">
        <v>25</v>
      </c>
      <c r="G18" s="11" t="s">
        <v>58</v>
      </c>
      <c r="H18" s="19">
        <f t="shared" si="0"/>
        <v>300</v>
      </c>
    </row>
    <row r="19" spans="1:8" ht="15.75" customHeight="1" thickBot="1">
      <c r="A19" s="11">
        <v>1016</v>
      </c>
      <c r="B19" s="12" t="s">
        <v>59</v>
      </c>
      <c r="C19" s="12" t="s">
        <v>36</v>
      </c>
      <c r="D19" s="12" t="s">
        <v>38</v>
      </c>
      <c r="E19" s="11">
        <v>25</v>
      </c>
      <c r="F19" s="11">
        <v>5</v>
      </c>
      <c r="G19" s="11" t="s">
        <v>60</v>
      </c>
      <c r="H19" s="19">
        <f t="shared" si="0"/>
        <v>125</v>
      </c>
    </row>
    <row r="20" spans="1:8" ht="15.75" customHeight="1" thickBot="1">
      <c r="A20" s="11">
        <v>1017</v>
      </c>
      <c r="B20" s="12" t="s">
        <v>61</v>
      </c>
      <c r="C20" s="12" t="s">
        <v>27</v>
      </c>
      <c r="D20" s="12" t="s">
        <v>41</v>
      </c>
      <c r="E20" s="11">
        <v>20</v>
      </c>
      <c r="F20" s="11">
        <v>8</v>
      </c>
      <c r="G20" s="11" t="s">
        <v>62</v>
      </c>
      <c r="H20" s="19">
        <f t="shared" si="0"/>
        <v>160</v>
      </c>
    </row>
    <row r="21" spans="1:8" ht="15.75" customHeight="1" thickBot="1">
      <c r="A21" s="11">
        <v>1018</v>
      </c>
      <c r="B21" s="12" t="s">
        <v>63</v>
      </c>
      <c r="C21" s="12" t="s">
        <v>30</v>
      </c>
      <c r="D21" s="12" t="s">
        <v>28</v>
      </c>
      <c r="E21" s="11">
        <v>10</v>
      </c>
      <c r="F21" s="11">
        <v>50</v>
      </c>
      <c r="G21" s="11" t="s">
        <v>64</v>
      </c>
      <c r="H21" s="19">
        <f t="shared" si="0"/>
        <v>500</v>
      </c>
    </row>
    <row r="22" spans="1:8" ht="15.75" customHeight="1" thickBot="1">
      <c r="A22" s="11">
        <v>1019</v>
      </c>
      <c r="B22" s="12" t="s">
        <v>65</v>
      </c>
      <c r="C22" s="12" t="s">
        <v>33</v>
      </c>
      <c r="D22" s="12" t="s">
        <v>31</v>
      </c>
      <c r="E22" s="11">
        <v>15</v>
      </c>
      <c r="F22" s="11">
        <v>10</v>
      </c>
      <c r="G22" s="11" t="s">
        <v>66</v>
      </c>
      <c r="H22" s="19">
        <f t="shared" si="0"/>
        <v>150</v>
      </c>
    </row>
    <row r="23" spans="1:8" ht="15.75" customHeight="1" thickBot="1">
      <c r="A23" s="11">
        <v>1020</v>
      </c>
      <c r="B23" s="12" t="s">
        <v>67</v>
      </c>
      <c r="C23" s="12" t="s">
        <v>36</v>
      </c>
      <c r="D23" s="12" t="s">
        <v>34</v>
      </c>
      <c r="E23" s="11">
        <v>18</v>
      </c>
      <c r="F23" s="11">
        <v>25</v>
      </c>
      <c r="G23" s="13">
        <v>45293</v>
      </c>
      <c r="H23" s="19">
        <f t="shared" si="0"/>
        <v>450</v>
      </c>
    </row>
    <row r="24" spans="1:8" ht="15.75" customHeight="1" thickBot="1">
      <c r="A24" s="11">
        <v>1021</v>
      </c>
      <c r="B24" s="12" t="s">
        <v>68</v>
      </c>
      <c r="C24" s="12" t="s">
        <v>27</v>
      </c>
      <c r="D24" s="12" t="s">
        <v>28</v>
      </c>
      <c r="E24" s="11">
        <v>9</v>
      </c>
      <c r="F24" s="11">
        <v>50</v>
      </c>
      <c r="G24" s="13">
        <v>45324</v>
      </c>
      <c r="H24" s="19">
        <f t="shared" si="0"/>
        <v>450</v>
      </c>
    </row>
    <row r="25" spans="1:8" ht="15.75" customHeight="1" thickBot="1">
      <c r="A25" s="11">
        <v>1022</v>
      </c>
      <c r="B25" s="12" t="s">
        <v>69</v>
      </c>
      <c r="C25" s="12" t="s">
        <v>30</v>
      </c>
      <c r="D25" s="12" t="s">
        <v>38</v>
      </c>
      <c r="E25" s="11">
        <v>35</v>
      </c>
      <c r="F25" s="11">
        <v>5</v>
      </c>
      <c r="G25" s="13">
        <v>45353</v>
      </c>
      <c r="H25" s="19">
        <f t="shared" si="0"/>
        <v>175</v>
      </c>
    </row>
    <row r="26" spans="1:8" ht="15.75" customHeight="1" thickBot="1">
      <c r="A26" s="11">
        <v>1023</v>
      </c>
      <c r="B26" s="12" t="s">
        <v>70</v>
      </c>
      <c r="C26" s="12" t="s">
        <v>33</v>
      </c>
      <c r="D26" s="12" t="s">
        <v>41</v>
      </c>
      <c r="E26" s="11">
        <v>30</v>
      </c>
      <c r="F26" s="11">
        <v>8</v>
      </c>
      <c r="G26" s="13">
        <v>45384</v>
      </c>
      <c r="H26" s="19">
        <f t="shared" si="0"/>
        <v>240</v>
      </c>
    </row>
    <row r="27" spans="1:8" ht="15.75" customHeight="1" thickBot="1">
      <c r="A27" s="11">
        <v>1024</v>
      </c>
      <c r="B27" s="12" t="s">
        <v>71</v>
      </c>
      <c r="C27" s="12" t="s">
        <v>36</v>
      </c>
      <c r="D27" s="12" t="s">
        <v>28</v>
      </c>
      <c r="E27" s="11">
        <v>11</v>
      </c>
      <c r="F27" s="11">
        <v>50</v>
      </c>
      <c r="G27" s="13">
        <v>45445</v>
      </c>
      <c r="H27" s="19">
        <f t="shared" si="0"/>
        <v>550</v>
      </c>
    </row>
    <row r="28" spans="1:8" ht="15.75" customHeight="1" thickBot="1">
      <c r="A28" s="11">
        <v>1025</v>
      </c>
      <c r="B28" s="12" t="s">
        <v>72</v>
      </c>
      <c r="C28" s="12" t="s">
        <v>27</v>
      </c>
      <c r="D28" s="12" t="s">
        <v>31</v>
      </c>
      <c r="E28" s="11">
        <v>14</v>
      </c>
      <c r="F28" s="11">
        <v>10</v>
      </c>
      <c r="G28" s="13">
        <v>45475</v>
      </c>
      <c r="H28" s="19">
        <f t="shared" si="0"/>
        <v>140</v>
      </c>
    </row>
    <row r="29" spans="1:8" ht="15.75" customHeight="1" thickBot="1">
      <c r="A29" s="11">
        <v>1026</v>
      </c>
      <c r="B29" s="12" t="s">
        <v>73</v>
      </c>
      <c r="C29" s="12" t="s">
        <v>30</v>
      </c>
      <c r="D29" s="12" t="s">
        <v>34</v>
      </c>
      <c r="E29" s="11">
        <v>16</v>
      </c>
      <c r="F29" s="11">
        <v>25</v>
      </c>
      <c r="G29" s="13">
        <v>45506</v>
      </c>
      <c r="H29" s="19">
        <f t="shared" si="0"/>
        <v>400</v>
      </c>
    </row>
    <row r="30" spans="1:8" ht="15.75" customHeight="1" thickBot="1">
      <c r="A30" s="11">
        <v>1027</v>
      </c>
      <c r="B30" s="12" t="s">
        <v>74</v>
      </c>
      <c r="C30" s="12" t="s">
        <v>33</v>
      </c>
      <c r="D30" s="12" t="s">
        <v>38</v>
      </c>
      <c r="E30" s="11">
        <v>22</v>
      </c>
      <c r="F30" s="11">
        <v>5</v>
      </c>
      <c r="G30" s="13">
        <v>45537</v>
      </c>
      <c r="H30" s="19">
        <f t="shared" si="0"/>
        <v>110</v>
      </c>
    </row>
    <row r="31" spans="1:8" ht="15.75" customHeight="1" thickBot="1">
      <c r="A31" s="11">
        <v>1028</v>
      </c>
      <c r="B31" s="12" t="s">
        <v>75</v>
      </c>
      <c r="C31" s="12" t="s">
        <v>36</v>
      </c>
      <c r="D31" s="12" t="s">
        <v>41</v>
      </c>
      <c r="E31" s="11">
        <v>27</v>
      </c>
      <c r="F31" s="11">
        <v>8</v>
      </c>
      <c r="G31" s="13">
        <v>45567</v>
      </c>
      <c r="H31" s="19">
        <f t="shared" si="0"/>
        <v>216</v>
      </c>
    </row>
    <row r="32" spans="1:8" ht="15.75" customHeight="1" thickBot="1">
      <c r="A32" s="11">
        <v>1029</v>
      </c>
      <c r="B32" s="12" t="s">
        <v>76</v>
      </c>
      <c r="C32" s="12" t="s">
        <v>27</v>
      </c>
      <c r="D32" s="12" t="s">
        <v>28</v>
      </c>
      <c r="E32" s="11">
        <v>13</v>
      </c>
      <c r="F32" s="11">
        <v>50</v>
      </c>
      <c r="G32" s="13">
        <v>45628</v>
      </c>
      <c r="H32" s="19">
        <f t="shared" si="0"/>
        <v>650</v>
      </c>
    </row>
    <row r="33" spans="1:8" ht="15.75" customHeight="1" thickBot="1">
      <c r="A33" s="11">
        <v>1030</v>
      </c>
      <c r="B33" s="12" t="s">
        <v>77</v>
      </c>
      <c r="C33" s="12" t="s">
        <v>30</v>
      </c>
      <c r="D33" s="12" t="s">
        <v>31</v>
      </c>
      <c r="E33" s="11">
        <v>32</v>
      </c>
      <c r="F33" s="11">
        <v>10</v>
      </c>
      <c r="G33" s="11" t="s">
        <v>78</v>
      </c>
      <c r="H33" s="19">
        <f t="shared" si="0"/>
        <v>320</v>
      </c>
    </row>
    <row r="34" spans="1:8" ht="15.75" customHeight="1" thickBot="1">
      <c r="A34" s="11">
        <v>1031</v>
      </c>
      <c r="B34" s="12" t="s">
        <v>79</v>
      </c>
      <c r="C34" s="12" t="s">
        <v>33</v>
      </c>
      <c r="D34" s="12" t="s">
        <v>34</v>
      </c>
      <c r="E34" s="11">
        <v>10</v>
      </c>
      <c r="F34" s="11">
        <v>25</v>
      </c>
      <c r="G34" s="11" t="s">
        <v>80</v>
      </c>
      <c r="H34" s="19">
        <f t="shared" si="0"/>
        <v>250</v>
      </c>
    </row>
    <row r="35" spans="1:8" ht="15.75" customHeight="1" thickBot="1">
      <c r="A35" s="11">
        <v>1032</v>
      </c>
      <c r="B35" s="12" t="s">
        <v>81</v>
      </c>
      <c r="C35" s="12" t="s">
        <v>36</v>
      </c>
      <c r="D35" s="12" t="s">
        <v>38</v>
      </c>
      <c r="E35" s="11">
        <v>18</v>
      </c>
      <c r="F35" s="11">
        <v>5</v>
      </c>
      <c r="G35" s="11" t="s">
        <v>82</v>
      </c>
      <c r="H35" s="19">
        <f t="shared" si="0"/>
        <v>90</v>
      </c>
    </row>
    <row r="36" spans="1:8" ht="15.75" customHeight="1" thickBot="1">
      <c r="A36" s="11">
        <v>1033</v>
      </c>
      <c r="B36" s="12" t="s">
        <v>83</v>
      </c>
      <c r="C36" s="12" t="s">
        <v>27</v>
      </c>
      <c r="D36" s="12" t="s">
        <v>41</v>
      </c>
      <c r="E36" s="11">
        <v>22</v>
      </c>
      <c r="F36" s="11">
        <v>8</v>
      </c>
      <c r="G36" s="11" t="s">
        <v>84</v>
      </c>
      <c r="H36" s="19">
        <f t="shared" si="0"/>
        <v>176</v>
      </c>
    </row>
    <row r="37" spans="1:8" ht="15.75" customHeight="1" thickBot="1">
      <c r="A37" s="11">
        <v>1034</v>
      </c>
      <c r="B37" s="12" t="s">
        <v>85</v>
      </c>
      <c r="C37" s="12" t="s">
        <v>30</v>
      </c>
      <c r="D37" s="12" t="s">
        <v>28</v>
      </c>
      <c r="E37" s="11">
        <v>17</v>
      </c>
      <c r="F37" s="11">
        <v>50</v>
      </c>
      <c r="G37" s="11" t="s">
        <v>86</v>
      </c>
      <c r="H37" s="19">
        <f t="shared" si="0"/>
        <v>850</v>
      </c>
    </row>
    <row r="38" spans="1:8" ht="15.75" customHeight="1" thickBot="1">
      <c r="A38" s="11">
        <v>1035</v>
      </c>
      <c r="B38" s="12" t="s">
        <v>87</v>
      </c>
      <c r="C38" s="12" t="s">
        <v>33</v>
      </c>
      <c r="D38" s="12" t="s">
        <v>31</v>
      </c>
      <c r="E38" s="11">
        <v>19</v>
      </c>
      <c r="F38" s="11">
        <v>10</v>
      </c>
      <c r="G38" s="11" t="s">
        <v>88</v>
      </c>
      <c r="H38" s="19">
        <f t="shared" si="0"/>
        <v>190</v>
      </c>
    </row>
    <row r="39" spans="1:8" ht="15.75" customHeight="1" thickBot="1">
      <c r="A39" s="11">
        <v>1036</v>
      </c>
      <c r="B39" s="12" t="s">
        <v>89</v>
      </c>
      <c r="C39" s="12" t="s">
        <v>36</v>
      </c>
      <c r="D39" s="12" t="s">
        <v>34</v>
      </c>
      <c r="E39" s="11">
        <v>15</v>
      </c>
      <c r="F39" s="11">
        <v>25</v>
      </c>
      <c r="G39" s="11" t="s">
        <v>90</v>
      </c>
      <c r="H39" s="19">
        <f t="shared" si="0"/>
        <v>375</v>
      </c>
    </row>
    <row r="40" spans="1:8" ht="15.75" customHeight="1" thickBot="1">
      <c r="A40" s="11">
        <v>1037</v>
      </c>
      <c r="B40" s="12" t="s">
        <v>91</v>
      </c>
      <c r="C40" s="12" t="s">
        <v>27</v>
      </c>
      <c r="D40" s="12" t="s">
        <v>38</v>
      </c>
      <c r="E40" s="11">
        <v>28</v>
      </c>
      <c r="F40" s="11">
        <v>5</v>
      </c>
      <c r="G40" s="11" t="s">
        <v>92</v>
      </c>
      <c r="H40" s="19">
        <f t="shared" si="0"/>
        <v>140</v>
      </c>
    </row>
    <row r="41" spans="1:8" ht="15.75" customHeight="1" thickBot="1">
      <c r="A41" s="11">
        <v>1038</v>
      </c>
      <c r="B41" s="12" t="s">
        <v>93</v>
      </c>
      <c r="C41" s="12" t="s">
        <v>30</v>
      </c>
      <c r="D41" s="12" t="s">
        <v>41</v>
      </c>
      <c r="E41" s="11">
        <v>24</v>
      </c>
      <c r="F41" s="11">
        <v>8</v>
      </c>
      <c r="G41" s="11" t="s">
        <v>94</v>
      </c>
      <c r="H41" s="19">
        <f t="shared" si="0"/>
        <v>192</v>
      </c>
    </row>
    <row r="42" spans="1:8" ht="15.75" customHeight="1" thickBot="1">
      <c r="A42" s="11">
        <v>1039</v>
      </c>
      <c r="B42" s="12" t="s">
        <v>95</v>
      </c>
      <c r="C42" s="12" t="s">
        <v>33</v>
      </c>
      <c r="D42" s="12" t="s">
        <v>28</v>
      </c>
      <c r="E42" s="11">
        <v>16</v>
      </c>
      <c r="F42" s="11">
        <v>50</v>
      </c>
      <c r="G42" s="11" t="s">
        <v>96</v>
      </c>
      <c r="H42" s="19">
        <f t="shared" si="0"/>
        <v>800</v>
      </c>
    </row>
    <row r="43" spans="1:8" ht="15.75" customHeight="1" thickBot="1">
      <c r="A43" s="11">
        <v>1040</v>
      </c>
      <c r="B43" s="12" t="s">
        <v>97</v>
      </c>
      <c r="C43" s="12" t="s">
        <v>36</v>
      </c>
      <c r="D43" s="12" t="s">
        <v>31</v>
      </c>
      <c r="E43" s="11">
        <v>27</v>
      </c>
      <c r="F43" s="11">
        <v>10</v>
      </c>
      <c r="G43" s="11" t="s">
        <v>98</v>
      </c>
      <c r="H43" s="19">
        <f t="shared" si="0"/>
        <v>270</v>
      </c>
    </row>
    <row r="44" spans="1:8" ht="15.75" customHeight="1" thickBot="1">
      <c r="A44" s="11">
        <v>1041</v>
      </c>
      <c r="B44" s="12" t="s">
        <v>99</v>
      </c>
      <c r="C44" s="12" t="s">
        <v>27</v>
      </c>
      <c r="D44" s="12" t="s">
        <v>34</v>
      </c>
      <c r="E44" s="11">
        <v>21</v>
      </c>
      <c r="F44" s="11">
        <v>25</v>
      </c>
      <c r="G44" s="11" t="s">
        <v>100</v>
      </c>
      <c r="H44" s="19">
        <f t="shared" si="0"/>
        <v>525</v>
      </c>
    </row>
    <row r="45" spans="1:8" ht="15.75" customHeight="1" thickBot="1">
      <c r="A45" s="11">
        <v>1042</v>
      </c>
      <c r="B45" s="12" t="s">
        <v>101</v>
      </c>
      <c r="C45" s="12" t="s">
        <v>30</v>
      </c>
      <c r="D45" s="12" t="s">
        <v>38</v>
      </c>
      <c r="E45" s="11">
        <v>30</v>
      </c>
      <c r="F45" s="11">
        <v>5</v>
      </c>
      <c r="G45" s="11" t="s">
        <v>102</v>
      </c>
      <c r="H45" s="19">
        <f t="shared" si="0"/>
        <v>150</v>
      </c>
    </row>
    <row r="46" spans="1:8" ht="15.75" customHeight="1" thickBot="1">
      <c r="A46" s="11">
        <v>1043</v>
      </c>
      <c r="B46" s="12" t="s">
        <v>103</v>
      </c>
      <c r="C46" s="12" t="s">
        <v>33</v>
      </c>
      <c r="D46" s="12" t="s">
        <v>41</v>
      </c>
      <c r="E46" s="11">
        <v>26</v>
      </c>
      <c r="F46" s="11">
        <v>8</v>
      </c>
      <c r="G46" s="13">
        <v>45294</v>
      </c>
      <c r="H46" s="19">
        <f t="shared" si="0"/>
        <v>208</v>
      </c>
    </row>
    <row r="47" spans="1:8" ht="15.75" customHeight="1" thickBot="1">
      <c r="A47" s="11">
        <v>1044</v>
      </c>
      <c r="B47" s="12" t="s">
        <v>104</v>
      </c>
      <c r="C47" s="12" t="s">
        <v>36</v>
      </c>
      <c r="D47" s="12" t="s">
        <v>28</v>
      </c>
      <c r="E47" s="11">
        <v>14</v>
      </c>
      <c r="F47" s="11">
        <v>50</v>
      </c>
      <c r="G47" s="13">
        <v>45325</v>
      </c>
      <c r="H47" s="19">
        <f t="shared" si="0"/>
        <v>700</v>
      </c>
    </row>
    <row r="48" spans="1:8" ht="15.75" customHeight="1" thickBot="1">
      <c r="A48" s="11">
        <v>1045</v>
      </c>
      <c r="B48" s="12" t="s">
        <v>105</v>
      </c>
      <c r="C48" s="12" t="s">
        <v>27</v>
      </c>
      <c r="D48" s="12" t="s">
        <v>31</v>
      </c>
      <c r="E48" s="11">
        <v>20</v>
      </c>
      <c r="F48" s="11">
        <v>10</v>
      </c>
      <c r="G48" s="13">
        <v>45354</v>
      </c>
      <c r="H48" s="19">
        <f t="shared" si="0"/>
        <v>200</v>
      </c>
    </row>
    <row r="49" spans="1:8" ht="15.75" customHeight="1" thickBot="1">
      <c r="A49" s="11">
        <v>1046</v>
      </c>
      <c r="B49" s="12" t="s">
        <v>106</v>
      </c>
      <c r="C49" s="12" t="s">
        <v>30</v>
      </c>
      <c r="D49" s="12" t="s">
        <v>34</v>
      </c>
      <c r="E49" s="11">
        <v>17</v>
      </c>
      <c r="F49" s="11">
        <v>25</v>
      </c>
      <c r="G49" s="13">
        <v>45385</v>
      </c>
      <c r="H49" s="19">
        <f t="shared" si="0"/>
        <v>425</v>
      </c>
    </row>
    <row r="50" spans="1:8" ht="15.75" customHeight="1" thickBot="1">
      <c r="A50" s="11">
        <v>1047</v>
      </c>
      <c r="B50" s="12" t="s">
        <v>107</v>
      </c>
      <c r="C50" s="12" t="s">
        <v>33</v>
      </c>
      <c r="D50" s="12" t="s">
        <v>38</v>
      </c>
      <c r="E50" s="11">
        <v>19</v>
      </c>
      <c r="F50" s="11">
        <v>5</v>
      </c>
      <c r="G50" s="13">
        <v>45415</v>
      </c>
      <c r="H50" s="19">
        <f t="shared" si="0"/>
        <v>95</v>
      </c>
    </row>
    <row r="51" spans="1:8" ht="15.75" customHeight="1" thickBot="1">
      <c r="A51" s="11">
        <v>1048</v>
      </c>
      <c r="B51" s="12" t="s">
        <v>108</v>
      </c>
      <c r="C51" s="12" t="s">
        <v>36</v>
      </c>
      <c r="D51" s="12" t="s">
        <v>41</v>
      </c>
      <c r="E51" s="11">
        <v>32</v>
      </c>
      <c r="F51" s="11">
        <v>8</v>
      </c>
      <c r="G51" s="13">
        <v>45446</v>
      </c>
      <c r="H51" s="19">
        <f t="shared" si="0"/>
        <v>256</v>
      </c>
    </row>
    <row r="52" spans="1:8" ht="15.75" customHeight="1" thickBot="1">
      <c r="A52" s="11">
        <v>1049</v>
      </c>
      <c r="B52" s="12" t="s">
        <v>109</v>
      </c>
      <c r="C52" s="12" t="s">
        <v>27</v>
      </c>
      <c r="D52" s="12" t="s">
        <v>28</v>
      </c>
      <c r="E52" s="11">
        <v>12</v>
      </c>
      <c r="F52" s="11">
        <v>50</v>
      </c>
      <c r="G52" s="13">
        <v>45476</v>
      </c>
      <c r="H52" s="19">
        <f t="shared" si="0"/>
        <v>600</v>
      </c>
    </row>
    <row r="53" spans="1:8" ht="15.75" thickBot="1">
      <c r="A53" s="11">
        <v>1050</v>
      </c>
      <c r="B53" s="12" t="s">
        <v>110</v>
      </c>
      <c r="C53" s="12" t="s">
        <v>30</v>
      </c>
      <c r="D53" s="12" t="s">
        <v>31</v>
      </c>
      <c r="E53" s="11">
        <v>25</v>
      </c>
      <c r="F53" s="11">
        <v>10</v>
      </c>
      <c r="G53" s="13">
        <v>45507</v>
      </c>
      <c r="H53" s="19">
        <f t="shared" si="0"/>
        <v>250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1"/>
  <sheetViews>
    <sheetView workbookViewId="0">
      <selection activeCell="K8" sqref="K8"/>
    </sheetView>
  </sheetViews>
  <sheetFormatPr defaultRowHeight="15"/>
  <cols>
    <col min="2" max="2" width="20.7109375" customWidth="1"/>
    <col min="3" max="3" width="12" customWidth="1"/>
    <col min="4" max="4" width="12.5703125" customWidth="1"/>
    <col min="7" max="7" width="12.140625" customWidth="1"/>
  </cols>
  <sheetData>
    <row r="1" spans="1:14" ht="15.75" customHeight="1" thickBot="1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</row>
    <row r="2" spans="1:14" ht="15.75" customHeight="1" thickBot="1">
      <c r="A2" s="11">
        <v>1001</v>
      </c>
      <c r="B2" s="12" t="s">
        <v>26</v>
      </c>
      <c r="C2" s="12" t="s">
        <v>27</v>
      </c>
      <c r="D2" s="12" t="s">
        <v>28</v>
      </c>
      <c r="E2" s="11">
        <v>10</v>
      </c>
      <c r="F2" s="11">
        <v>50</v>
      </c>
      <c r="G2" s="13">
        <v>45413</v>
      </c>
      <c r="I2" s="30" t="s">
        <v>114</v>
      </c>
      <c r="J2" s="30"/>
      <c r="K2" s="30"/>
      <c r="L2" s="30"/>
      <c r="M2" s="30"/>
      <c r="N2" s="30"/>
    </row>
    <row r="3" spans="1:14" ht="15.75" customHeight="1" thickBot="1">
      <c r="A3" s="11">
        <v>1002</v>
      </c>
      <c r="B3" s="12" t="s">
        <v>29</v>
      </c>
      <c r="C3" s="12" t="s">
        <v>30</v>
      </c>
      <c r="D3" s="12" t="s">
        <v>31</v>
      </c>
      <c r="E3" s="11">
        <v>20</v>
      </c>
      <c r="F3" s="11">
        <v>10</v>
      </c>
      <c r="G3" s="13">
        <v>45444</v>
      </c>
      <c r="I3" s="30"/>
      <c r="J3" s="30"/>
      <c r="K3" s="30"/>
      <c r="L3" s="30"/>
      <c r="M3" s="30"/>
      <c r="N3" s="30"/>
    </row>
    <row r="4" spans="1:14" ht="15.75" customHeight="1" thickBot="1">
      <c r="A4" s="11">
        <v>1003</v>
      </c>
      <c r="B4" s="12" t="s">
        <v>32</v>
      </c>
      <c r="C4" s="12" t="s">
        <v>33</v>
      </c>
      <c r="D4" s="12" t="s">
        <v>34</v>
      </c>
      <c r="E4" s="11">
        <v>15</v>
      </c>
      <c r="F4" s="11">
        <v>25</v>
      </c>
      <c r="G4" s="13">
        <v>45474</v>
      </c>
    </row>
    <row r="5" spans="1:14" ht="15.75" customHeight="1" thickBot="1">
      <c r="A5" s="11">
        <v>1004</v>
      </c>
      <c r="B5" s="12" t="s">
        <v>35</v>
      </c>
      <c r="C5" s="12" t="s">
        <v>36</v>
      </c>
      <c r="D5" s="12" t="s">
        <v>28</v>
      </c>
      <c r="E5" s="11">
        <v>5</v>
      </c>
      <c r="F5" s="11">
        <v>50</v>
      </c>
      <c r="G5" s="13">
        <v>45505</v>
      </c>
      <c r="I5" s="16" t="s">
        <v>115</v>
      </c>
      <c r="J5" s="20">
        <f>SUMIFS(F2:F51,D2:D51,"Notebook",C2:C51,"North")</f>
        <v>250</v>
      </c>
    </row>
    <row r="6" spans="1:14" ht="15.75" customHeight="1" thickBot="1">
      <c r="A6" s="11">
        <v>1005</v>
      </c>
      <c r="B6" s="12" t="s">
        <v>37</v>
      </c>
      <c r="C6" s="12" t="s">
        <v>27</v>
      </c>
      <c r="D6" s="12" t="s">
        <v>38</v>
      </c>
      <c r="E6" s="11">
        <v>30</v>
      </c>
      <c r="F6" s="11">
        <v>5</v>
      </c>
      <c r="G6" s="13">
        <v>45566</v>
      </c>
    </row>
    <row r="7" spans="1:14" ht="15.75" customHeight="1" thickBot="1">
      <c r="A7" s="11">
        <v>1006</v>
      </c>
      <c r="B7" s="12" t="s">
        <v>39</v>
      </c>
      <c r="C7" s="12" t="s">
        <v>30</v>
      </c>
      <c r="D7" s="12" t="s">
        <v>28</v>
      </c>
      <c r="E7" s="11">
        <v>12</v>
      </c>
      <c r="F7" s="11">
        <v>50</v>
      </c>
      <c r="G7" s="13">
        <v>45597</v>
      </c>
    </row>
    <row r="8" spans="1:14" ht="15.75" customHeight="1" thickBot="1">
      <c r="A8" s="11">
        <v>1007</v>
      </c>
      <c r="B8" s="12" t="s">
        <v>40</v>
      </c>
      <c r="C8" s="12" t="s">
        <v>33</v>
      </c>
      <c r="D8" s="12" t="s">
        <v>41</v>
      </c>
      <c r="E8" s="11">
        <v>25</v>
      </c>
      <c r="F8" s="11">
        <v>8</v>
      </c>
      <c r="G8" s="11" t="s">
        <v>42</v>
      </c>
    </row>
    <row r="9" spans="1:14" ht="15.75" customHeight="1" thickBot="1">
      <c r="A9" s="11">
        <v>1008</v>
      </c>
      <c r="B9" s="12" t="s">
        <v>43</v>
      </c>
      <c r="C9" s="12" t="s">
        <v>36</v>
      </c>
      <c r="D9" s="12" t="s">
        <v>31</v>
      </c>
      <c r="E9" s="11">
        <v>18</v>
      </c>
      <c r="F9" s="11">
        <v>10</v>
      </c>
      <c r="G9" s="11" t="s">
        <v>44</v>
      </c>
    </row>
    <row r="10" spans="1:14" ht="15.75" customHeight="1" thickBot="1">
      <c r="A10" s="11">
        <v>1009</v>
      </c>
      <c r="B10" s="12" t="s">
        <v>45</v>
      </c>
      <c r="C10" s="12" t="s">
        <v>27</v>
      </c>
      <c r="D10" s="12" t="s">
        <v>34</v>
      </c>
      <c r="E10" s="11">
        <v>22</v>
      </c>
      <c r="F10" s="11">
        <v>25</v>
      </c>
      <c r="G10" s="11" t="s">
        <v>46</v>
      </c>
    </row>
    <row r="11" spans="1:14" ht="15.75" customHeight="1" thickBot="1">
      <c r="A11" s="11">
        <v>1010</v>
      </c>
      <c r="B11" s="12" t="s">
        <v>47</v>
      </c>
      <c r="C11" s="12" t="s">
        <v>30</v>
      </c>
      <c r="D11" s="12" t="s">
        <v>28</v>
      </c>
      <c r="E11" s="11">
        <v>8</v>
      </c>
      <c r="F11" s="11">
        <v>50</v>
      </c>
      <c r="G11" s="11" t="s">
        <v>48</v>
      </c>
    </row>
    <row r="12" spans="1:14" ht="15.75" customHeight="1" thickBot="1">
      <c r="A12" s="11">
        <v>1011</v>
      </c>
      <c r="B12" s="12" t="s">
        <v>49</v>
      </c>
      <c r="C12" s="12" t="s">
        <v>33</v>
      </c>
      <c r="D12" s="12" t="s">
        <v>38</v>
      </c>
      <c r="E12" s="11">
        <v>40</v>
      </c>
      <c r="F12" s="11">
        <v>5</v>
      </c>
      <c r="G12" s="11" t="s">
        <v>50</v>
      </c>
    </row>
    <row r="13" spans="1:14" ht="15.75" customHeight="1" thickBot="1">
      <c r="A13" s="11">
        <v>1012</v>
      </c>
      <c r="B13" s="12" t="s">
        <v>51</v>
      </c>
      <c r="C13" s="12" t="s">
        <v>36</v>
      </c>
      <c r="D13" s="12" t="s">
        <v>41</v>
      </c>
      <c r="E13" s="11">
        <v>35</v>
      </c>
      <c r="F13" s="11">
        <v>8</v>
      </c>
      <c r="G13" s="11" t="s">
        <v>52</v>
      </c>
    </row>
    <row r="14" spans="1:14" ht="15.75" customHeight="1" thickBot="1">
      <c r="A14" s="11">
        <v>1013</v>
      </c>
      <c r="B14" s="12" t="s">
        <v>53</v>
      </c>
      <c r="C14" s="12" t="s">
        <v>27</v>
      </c>
      <c r="D14" s="12" t="s">
        <v>28</v>
      </c>
      <c r="E14" s="11">
        <v>14</v>
      </c>
      <c r="F14" s="11">
        <v>50</v>
      </c>
      <c r="G14" s="11" t="s">
        <v>54</v>
      </c>
    </row>
    <row r="15" spans="1:14" ht="15.75" customHeight="1" thickBot="1">
      <c r="A15" s="11">
        <v>1014</v>
      </c>
      <c r="B15" s="12" t="s">
        <v>55</v>
      </c>
      <c r="C15" s="12" t="s">
        <v>30</v>
      </c>
      <c r="D15" s="12" t="s">
        <v>31</v>
      </c>
      <c r="E15" s="11">
        <v>28</v>
      </c>
      <c r="F15" s="11">
        <v>10</v>
      </c>
      <c r="G15" s="11" t="s">
        <v>56</v>
      </c>
    </row>
    <row r="16" spans="1:14" ht="15.75" customHeight="1" thickBot="1">
      <c r="A16" s="11">
        <v>1015</v>
      </c>
      <c r="B16" s="12" t="s">
        <v>57</v>
      </c>
      <c r="C16" s="12" t="s">
        <v>33</v>
      </c>
      <c r="D16" s="12" t="s">
        <v>34</v>
      </c>
      <c r="E16" s="11">
        <v>12</v>
      </c>
      <c r="F16" s="11">
        <v>25</v>
      </c>
      <c r="G16" s="11" t="s">
        <v>58</v>
      </c>
    </row>
    <row r="17" spans="1:7" ht="15.75" customHeight="1" thickBot="1">
      <c r="A17" s="11">
        <v>1016</v>
      </c>
      <c r="B17" s="12" t="s">
        <v>59</v>
      </c>
      <c r="C17" s="12" t="s">
        <v>36</v>
      </c>
      <c r="D17" s="12" t="s">
        <v>38</v>
      </c>
      <c r="E17" s="11">
        <v>25</v>
      </c>
      <c r="F17" s="11">
        <v>5</v>
      </c>
      <c r="G17" s="11" t="s">
        <v>60</v>
      </c>
    </row>
    <row r="18" spans="1:7" ht="15.75" customHeight="1" thickBot="1">
      <c r="A18" s="11">
        <v>1017</v>
      </c>
      <c r="B18" s="12" t="s">
        <v>61</v>
      </c>
      <c r="C18" s="12" t="s">
        <v>27</v>
      </c>
      <c r="D18" s="12" t="s">
        <v>41</v>
      </c>
      <c r="E18" s="11">
        <v>20</v>
      </c>
      <c r="F18" s="11">
        <v>8</v>
      </c>
      <c r="G18" s="11" t="s">
        <v>62</v>
      </c>
    </row>
    <row r="19" spans="1:7" ht="15.75" customHeight="1" thickBot="1">
      <c r="A19" s="11">
        <v>1018</v>
      </c>
      <c r="B19" s="12" t="s">
        <v>63</v>
      </c>
      <c r="C19" s="12" t="s">
        <v>30</v>
      </c>
      <c r="D19" s="12" t="s">
        <v>28</v>
      </c>
      <c r="E19" s="11">
        <v>10</v>
      </c>
      <c r="F19" s="11">
        <v>50</v>
      </c>
      <c r="G19" s="11" t="s">
        <v>64</v>
      </c>
    </row>
    <row r="20" spans="1:7" ht="15.75" customHeight="1" thickBot="1">
      <c r="A20" s="11">
        <v>1019</v>
      </c>
      <c r="B20" s="12" t="s">
        <v>65</v>
      </c>
      <c r="C20" s="12" t="s">
        <v>33</v>
      </c>
      <c r="D20" s="12" t="s">
        <v>31</v>
      </c>
      <c r="E20" s="11">
        <v>15</v>
      </c>
      <c r="F20" s="11">
        <v>10</v>
      </c>
      <c r="G20" s="11" t="s">
        <v>66</v>
      </c>
    </row>
    <row r="21" spans="1:7" ht="15.75" customHeight="1" thickBot="1">
      <c r="A21" s="11">
        <v>1020</v>
      </c>
      <c r="B21" s="12" t="s">
        <v>67</v>
      </c>
      <c r="C21" s="12" t="s">
        <v>36</v>
      </c>
      <c r="D21" s="12" t="s">
        <v>34</v>
      </c>
      <c r="E21" s="11">
        <v>18</v>
      </c>
      <c r="F21" s="11">
        <v>25</v>
      </c>
      <c r="G21" s="13">
        <v>45293</v>
      </c>
    </row>
    <row r="22" spans="1:7" ht="15.75" customHeight="1" thickBot="1">
      <c r="A22" s="11">
        <v>1021</v>
      </c>
      <c r="B22" s="12" t="s">
        <v>68</v>
      </c>
      <c r="C22" s="12" t="s">
        <v>27</v>
      </c>
      <c r="D22" s="12" t="s">
        <v>28</v>
      </c>
      <c r="E22" s="11">
        <v>9</v>
      </c>
      <c r="F22" s="11">
        <v>50</v>
      </c>
      <c r="G22" s="13">
        <v>45324</v>
      </c>
    </row>
    <row r="23" spans="1:7" ht="15.75" customHeight="1" thickBot="1">
      <c r="A23" s="11">
        <v>1022</v>
      </c>
      <c r="B23" s="12" t="s">
        <v>69</v>
      </c>
      <c r="C23" s="12" t="s">
        <v>30</v>
      </c>
      <c r="D23" s="12" t="s">
        <v>38</v>
      </c>
      <c r="E23" s="11">
        <v>35</v>
      </c>
      <c r="F23" s="11">
        <v>5</v>
      </c>
      <c r="G23" s="13">
        <v>45353</v>
      </c>
    </row>
    <row r="24" spans="1:7" ht="15.75" customHeight="1" thickBot="1">
      <c r="A24" s="11">
        <v>1023</v>
      </c>
      <c r="B24" s="12" t="s">
        <v>70</v>
      </c>
      <c r="C24" s="12" t="s">
        <v>33</v>
      </c>
      <c r="D24" s="12" t="s">
        <v>41</v>
      </c>
      <c r="E24" s="11">
        <v>30</v>
      </c>
      <c r="F24" s="11">
        <v>8</v>
      </c>
      <c r="G24" s="13">
        <v>45384</v>
      </c>
    </row>
    <row r="25" spans="1:7" ht="15.75" customHeight="1" thickBot="1">
      <c r="A25" s="11">
        <v>1024</v>
      </c>
      <c r="B25" s="12" t="s">
        <v>71</v>
      </c>
      <c r="C25" s="12" t="s">
        <v>36</v>
      </c>
      <c r="D25" s="12" t="s">
        <v>28</v>
      </c>
      <c r="E25" s="11">
        <v>11</v>
      </c>
      <c r="F25" s="11">
        <v>50</v>
      </c>
      <c r="G25" s="13">
        <v>45445</v>
      </c>
    </row>
    <row r="26" spans="1:7" ht="15.75" customHeight="1" thickBot="1">
      <c r="A26" s="11">
        <v>1025</v>
      </c>
      <c r="B26" s="12" t="s">
        <v>72</v>
      </c>
      <c r="C26" s="12" t="s">
        <v>27</v>
      </c>
      <c r="D26" s="12" t="s">
        <v>31</v>
      </c>
      <c r="E26" s="11">
        <v>14</v>
      </c>
      <c r="F26" s="11">
        <v>10</v>
      </c>
      <c r="G26" s="13">
        <v>45475</v>
      </c>
    </row>
    <row r="27" spans="1:7" ht="15.75" customHeight="1" thickBot="1">
      <c r="A27" s="11">
        <v>1026</v>
      </c>
      <c r="B27" s="12" t="s">
        <v>73</v>
      </c>
      <c r="C27" s="12" t="s">
        <v>30</v>
      </c>
      <c r="D27" s="12" t="s">
        <v>34</v>
      </c>
      <c r="E27" s="11">
        <v>16</v>
      </c>
      <c r="F27" s="11">
        <v>25</v>
      </c>
      <c r="G27" s="13">
        <v>45506</v>
      </c>
    </row>
    <row r="28" spans="1:7" ht="15.75" customHeight="1" thickBot="1">
      <c r="A28" s="11">
        <v>1027</v>
      </c>
      <c r="B28" s="12" t="s">
        <v>74</v>
      </c>
      <c r="C28" s="12" t="s">
        <v>33</v>
      </c>
      <c r="D28" s="12" t="s">
        <v>38</v>
      </c>
      <c r="E28" s="11">
        <v>22</v>
      </c>
      <c r="F28" s="11">
        <v>5</v>
      </c>
      <c r="G28" s="13">
        <v>45537</v>
      </c>
    </row>
    <row r="29" spans="1:7" ht="15.75" customHeight="1" thickBot="1">
      <c r="A29" s="11">
        <v>1028</v>
      </c>
      <c r="B29" s="12" t="s">
        <v>75</v>
      </c>
      <c r="C29" s="12" t="s">
        <v>36</v>
      </c>
      <c r="D29" s="12" t="s">
        <v>41</v>
      </c>
      <c r="E29" s="11">
        <v>27</v>
      </c>
      <c r="F29" s="11">
        <v>8</v>
      </c>
      <c r="G29" s="13">
        <v>45567</v>
      </c>
    </row>
    <row r="30" spans="1:7" ht="15.75" customHeight="1" thickBot="1">
      <c r="A30" s="11">
        <v>1029</v>
      </c>
      <c r="B30" s="12" t="s">
        <v>76</v>
      </c>
      <c r="C30" s="12" t="s">
        <v>27</v>
      </c>
      <c r="D30" s="12" t="s">
        <v>28</v>
      </c>
      <c r="E30" s="11">
        <v>13</v>
      </c>
      <c r="F30" s="11">
        <v>50</v>
      </c>
      <c r="G30" s="13">
        <v>45628</v>
      </c>
    </row>
    <row r="31" spans="1:7" ht="15.75" customHeight="1" thickBot="1">
      <c r="A31" s="11">
        <v>1030</v>
      </c>
      <c r="B31" s="12" t="s">
        <v>77</v>
      </c>
      <c r="C31" s="12" t="s">
        <v>30</v>
      </c>
      <c r="D31" s="12" t="s">
        <v>31</v>
      </c>
      <c r="E31" s="11">
        <v>32</v>
      </c>
      <c r="F31" s="11">
        <v>10</v>
      </c>
      <c r="G31" s="11" t="s">
        <v>78</v>
      </c>
    </row>
    <row r="32" spans="1:7" ht="15.75" customHeight="1" thickBot="1">
      <c r="A32" s="11">
        <v>1031</v>
      </c>
      <c r="B32" s="12" t="s">
        <v>79</v>
      </c>
      <c r="C32" s="12" t="s">
        <v>33</v>
      </c>
      <c r="D32" s="12" t="s">
        <v>34</v>
      </c>
      <c r="E32" s="11">
        <v>10</v>
      </c>
      <c r="F32" s="11">
        <v>25</v>
      </c>
      <c r="G32" s="11" t="s">
        <v>80</v>
      </c>
    </row>
    <row r="33" spans="1:7" ht="15.75" customHeight="1" thickBot="1">
      <c r="A33" s="11">
        <v>1032</v>
      </c>
      <c r="B33" s="12" t="s">
        <v>81</v>
      </c>
      <c r="C33" s="12" t="s">
        <v>36</v>
      </c>
      <c r="D33" s="12" t="s">
        <v>38</v>
      </c>
      <c r="E33" s="11">
        <v>18</v>
      </c>
      <c r="F33" s="11">
        <v>5</v>
      </c>
      <c r="G33" s="11" t="s">
        <v>82</v>
      </c>
    </row>
    <row r="34" spans="1:7" ht="15.75" customHeight="1" thickBot="1">
      <c r="A34" s="11">
        <v>1033</v>
      </c>
      <c r="B34" s="12" t="s">
        <v>83</v>
      </c>
      <c r="C34" s="12" t="s">
        <v>27</v>
      </c>
      <c r="D34" s="12" t="s">
        <v>41</v>
      </c>
      <c r="E34" s="11">
        <v>22</v>
      </c>
      <c r="F34" s="11">
        <v>8</v>
      </c>
      <c r="G34" s="11" t="s">
        <v>84</v>
      </c>
    </row>
    <row r="35" spans="1:7" ht="15.75" customHeight="1" thickBot="1">
      <c r="A35" s="11">
        <v>1034</v>
      </c>
      <c r="B35" s="12" t="s">
        <v>85</v>
      </c>
      <c r="C35" s="12" t="s">
        <v>30</v>
      </c>
      <c r="D35" s="12" t="s">
        <v>28</v>
      </c>
      <c r="E35" s="11">
        <v>17</v>
      </c>
      <c r="F35" s="11">
        <v>50</v>
      </c>
      <c r="G35" s="11" t="s">
        <v>86</v>
      </c>
    </row>
    <row r="36" spans="1:7" ht="15.75" customHeight="1" thickBot="1">
      <c r="A36" s="11">
        <v>1035</v>
      </c>
      <c r="B36" s="12" t="s">
        <v>87</v>
      </c>
      <c r="C36" s="12" t="s">
        <v>33</v>
      </c>
      <c r="D36" s="12" t="s">
        <v>31</v>
      </c>
      <c r="E36" s="11">
        <v>19</v>
      </c>
      <c r="F36" s="11">
        <v>10</v>
      </c>
      <c r="G36" s="11" t="s">
        <v>88</v>
      </c>
    </row>
    <row r="37" spans="1:7" ht="15.75" customHeight="1" thickBot="1">
      <c r="A37" s="11">
        <v>1036</v>
      </c>
      <c r="B37" s="12" t="s">
        <v>89</v>
      </c>
      <c r="C37" s="12" t="s">
        <v>36</v>
      </c>
      <c r="D37" s="12" t="s">
        <v>34</v>
      </c>
      <c r="E37" s="11">
        <v>15</v>
      </c>
      <c r="F37" s="11">
        <v>25</v>
      </c>
      <c r="G37" s="11" t="s">
        <v>90</v>
      </c>
    </row>
    <row r="38" spans="1:7" ht="15.75" customHeight="1" thickBot="1">
      <c r="A38" s="11">
        <v>1037</v>
      </c>
      <c r="B38" s="12" t="s">
        <v>91</v>
      </c>
      <c r="C38" s="12" t="s">
        <v>27</v>
      </c>
      <c r="D38" s="12" t="s">
        <v>38</v>
      </c>
      <c r="E38" s="11">
        <v>28</v>
      </c>
      <c r="F38" s="11">
        <v>5</v>
      </c>
      <c r="G38" s="11" t="s">
        <v>92</v>
      </c>
    </row>
    <row r="39" spans="1:7" ht="15.75" customHeight="1" thickBot="1">
      <c r="A39" s="11">
        <v>1038</v>
      </c>
      <c r="B39" s="12" t="s">
        <v>93</v>
      </c>
      <c r="C39" s="12" t="s">
        <v>30</v>
      </c>
      <c r="D39" s="12" t="s">
        <v>41</v>
      </c>
      <c r="E39" s="11">
        <v>24</v>
      </c>
      <c r="F39" s="11">
        <v>8</v>
      </c>
      <c r="G39" s="11" t="s">
        <v>94</v>
      </c>
    </row>
    <row r="40" spans="1:7" ht="15.75" customHeight="1" thickBot="1">
      <c r="A40" s="11">
        <v>1039</v>
      </c>
      <c r="B40" s="12" t="s">
        <v>95</v>
      </c>
      <c r="C40" s="12" t="s">
        <v>33</v>
      </c>
      <c r="D40" s="12" t="s">
        <v>28</v>
      </c>
      <c r="E40" s="11">
        <v>16</v>
      </c>
      <c r="F40" s="11">
        <v>50</v>
      </c>
      <c r="G40" s="11" t="s">
        <v>96</v>
      </c>
    </row>
    <row r="41" spans="1:7" ht="15.75" customHeight="1" thickBot="1">
      <c r="A41" s="11">
        <v>1040</v>
      </c>
      <c r="B41" s="12" t="s">
        <v>97</v>
      </c>
      <c r="C41" s="12" t="s">
        <v>36</v>
      </c>
      <c r="D41" s="12" t="s">
        <v>31</v>
      </c>
      <c r="E41" s="11">
        <v>27</v>
      </c>
      <c r="F41" s="11">
        <v>10</v>
      </c>
      <c r="G41" s="11" t="s">
        <v>98</v>
      </c>
    </row>
    <row r="42" spans="1:7" ht="15.75" customHeight="1" thickBot="1">
      <c r="A42" s="11">
        <v>1041</v>
      </c>
      <c r="B42" s="12" t="s">
        <v>99</v>
      </c>
      <c r="C42" s="12" t="s">
        <v>27</v>
      </c>
      <c r="D42" s="12" t="s">
        <v>34</v>
      </c>
      <c r="E42" s="11">
        <v>21</v>
      </c>
      <c r="F42" s="11">
        <v>25</v>
      </c>
      <c r="G42" s="11" t="s">
        <v>100</v>
      </c>
    </row>
    <row r="43" spans="1:7" ht="15.75" customHeight="1" thickBot="1">
      <c r="A43" s="11">
        <v>1042</v>
      </c>
      <c r="B43" s="12" t="s">
        <v>101</v>
      </c>
      <c r="C43" s="12" t="s">
        <v>30</v>
      </c>
      <c r="D43" s="12" t="s">
        <v>38</v>
      </c>
      <c r="E43" s="11">
        <v>30</v>
      </c>
      <c r="F43" s="11">
        <v>5</v>
      </c>
      <c r="G43" s="11" t="s">
        <v>102</v>
      </c>
    </row>
    <row r="44" spans="1:7" ht="15.75" customHeight="1" thickBot="1">
      <c r="A44" s="11">
        <v>1043</v>
      </c>
      <c r="B44" s="12" t="s">
        <v>103</v>
      </c>
      <c r="C44" s="12" t="s">
        <v>33</v>
      </c>
      <c r="D44" s="12" t="s">
        <v>41</v>
      </c>
      <c r="E44" s="11">
        <v>26</v>
      </c>
      <c r="F44" s="11">
        <v>8</v>
      </c>
      <c r="G44" s="13">
        <v>45294</v>
      </c>
    </row>
    <row r="45" spans="1:7" ht="15.75" customHeight="1" thickBot="1">
      <c r="A45" s="11">
        <v>1044</v>
      </c>
      <c r="B45" s="12" t="s">
        <v>104</v>
      </c>
      <c r="C45" s="12" t="s">
        <v>36</v>
      </c>
      <c r="D45" s="12" t="s">
        <v>28</v>
      </c>
      <c r="E45" s="11">
        <v>14</v>
      </c>
      <c r="F45" s="11">
        <v>50</v>
      </c>
      <c r="G45" s="13">
        <v>45325</v>
      </c>
    </row>
    <row r="46" spans="1:7" ht="15.75" customHeight="1" thickBot="1">
      <c r="A46" s="11">
        <v>1045</v>
      </c>
      <c r="B46" s="12" t="s">
        <v>105</v>
      </c>
      <c r="C46" s="12" t="s">
        <v>27</v>
      </c>
      <c r="D46" s="12" t="s">
        <v>31</v>
      </c>
      <c r="E46" s="11">
        <v>20</v>
      </c>
      <c r="F46" s="11">
        <v>10</v>
      </c>
      <c r="G46" s="13">
        <v>45354</v>
      </c>
    </row>
    <row r="47" spans="1:7" ht="15.75" customHeight="1" thickBot="1">
      <c r="A47" s="11">
        <v>1046</v>
      </c>
      <c r="B47" s="12" t="s">
        <v>106</v>
      </c>
      <c r="C47" s="12" t="s">
        <v>30</v>
      </c>
      <c r="D47" s="12" t="s">
        <v>34</v>
      </c>
      <c r="E47" s="11">
        <v>17</v>
      </c>
      <c r="F47" s="11">
        <v>25</v>
      </c>
      <c r="G47" s="13">
        <v>45385</v>
      </c>
    </row>
    <row r="48" spans="1:7" ht="15.75" customHeight="1" thickBot="1">
      <c r="A48" s="11">
        <v>1047</v>
      </c>
      <c r="B48" s="12" t="s">
        <v>107</v>
      </c>
      <c r="C48" s="12" t="s">
        <v>33</v>
      </c>
      <c r="D48" s="12" t="s">
        <v>38</v>
      </c>
      <c r="E48" s="11">
        <v>19</v>
      </c>
      <c r="F48" s="11">
        <v>5</v>
      </c>
      <c r="G48" s="13">
        <v>45415</v>
      </c>
    </row>
    <row r="49" spans="1:7" ht="15.75" customHeight="1" thickBot="1">
      <c r="A49" s="11">
        <v>1048</v>
      </c>
      <c r="B49" s="12" t="s">
        <v>108</v>
      </c>
      <c r="C49" s="12" t="s">
        <v>36</v>
      </c>
      <c r="D49" s="12" t="s">
        <v>41</v>
      </c>
      <c r="E49" s="11">
        <v>32</v>
      </c>
      <c r="F49" s="11">
        <v>8</v>
      </c>
      <c r="G49" s="13">
        <v>45446</v>
      </c>
    </row>
    <row r="50" spans="1:7" ht="15.75" customHeight="1" thickBot="1">
      <c r="A50" s="11">
        <v>1049</v>
      </c>
      <c r="B50" s="12" t="s">
        <v>109</v>
      </c>
      <c r="C50" s="12" t="s">
        <v>27</v>
      </c>
      <c r="D50" s="12" t="s">
        <v>28</v>
      </c>
      <c r="E50" s="11">
        <v>12</v>
      </c>
      <c r="F50" s="11">
        <v>50</v>
      </c>
      <c r="G50" s="13">
        <v>45476</v>
      </c>
    </row>
    <row r="51" spans="1:7" ht="15.75" customHeight="1" thickBot="1">
      <c r="A51" s="11">
        <v>1050</v>
      </c>
      <c r="B51" s="12" t="s">
        <v>110</v>
      </c>
      <c r="C51" s="12" t="s">
        <v>30</v>
      </c>
      <c r="D51" s="12" t="s">
        <v>31</v>
      </c>
      <c r="E51" s="11">
        <v>25</v>
      </c>
      <c r="F51" s="11">
        <v>10</v>
      </c>
      <c r="G51" s="13">
        <v>45507</v>
      </c>
    </row>
  </sheetData>
  <mergeCells count="1">
    <mergeCell ref="I2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selection activeCell="H51" activeCellId="1" sqref="D1:D51 H1:H51"/>
    </sheetView>
  </sheetViews>
  <sheetFormatPr defaultRowHeight="15"/>
  <cols>
    <col min="1" max="1" width="10.42578125" customWidth="1"/>
    <col min="2" max="2" width="17.85546875" customWidth="1"/>
    <col min="3" max="3" width="12.140625" customWidth="1"/>
    <col min="4" max="4" width="17.7109375" customWidth="1"/>
    <col min="7" max="7" width="13.42578125" customWidth="1"/>
  </cols>
  <sheetData>
    <row r="1" spans="1:15" ht="15.75" customHeight="1" thickBot="1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4" t="s">
        <v>15</v>
      </c>
    </row>
    <row r="2" spans="1:15" ht="15.75" customHeight="1" thickBot="1">
      <c r="A2" s="11">
        <v>1001</v>
      </c>
      <c r="B2" s="12" t="s">
        <v>26</v>
      </c>
      <c r="C2" s="12" t="s">
        <v>27</v>
      </c>
      <c r="D2" s="12" t="s">
        <v>28</v>
      </c>
      <c r="E2" s="11">
        <v>10</v>
      </c>
      <c r="F2" s="11">
        <v>50</v>
      </c>
      <c r="G2" s="13">
        <v>45413</v>
      </c>
      <c r="H2" s="6">
        <v>500</v>
      </c>
    </row>
    <row r="3" spans="1:15" ht="15.75" customHeight="1" thickBot="1">
      <c r="A3" s="11">
        <v>1002</v>
      </c>
      <c r="B3" s="12" t="s">
        <v>29</v>
      </c>
      <c r="C3" s="12" t="s">
        <v>30</v>
      </c>
      <c r="D3" s="12" t="s">
        <v>31</v>
      </c>
      <c r="E3" s="11">
        <v>20</v>
      </c>
      <c r="F3" s="11">
        <v>10</v>
      </c>
      <c r="G3" s="13">
        <v>45444</v>
      </c>
      <c r="H3" s="6">
        <v>200</v>
      </c>
      <c r="J3" s="28" t="s">
        <v>116</v>
      </c>
      <c r="K3" s="22"/>
      <c r="L3" s="22"/>
      <c r="M3" s="22"/>
      <c r="N3" s="22"/>
      <c r="O3" s="22"/>
    </row>
    <row r="4" spans="1:15" ht="15.75" customHeight="1" thickBot="1">
      <c r="A4" s="11">
        <v>1003</v>
      </c>
      <c r="B4" s="12" t="s">
        <v>32</v>
      </c>
      <c r="C4" s="12" t="s">
        <v>33</v>
      </c>
      <c r="D4" s="12" t="s">
        <v>34</v>
      </c>
      <c r="E4" s="11">
        <v>15</v>
      </c>
      <c r="F4" s="11">
        <v>25</v>
      </c>
      <c r="G4" s="13">
        <v>45474</v>
      </c>
      <c r="H4" s="6">
        <v>375</v>
      </c>
      <c r="J4" s="22"/>
      <c r="K4" s="22"/>
      <c r="L4" s="22"/>
      <c r="M4" s="22"/>
      <c r="N4" s="22"/>
      <c r="O4" s="22"/>
    </row>
    <row r="5" spans="1:15" ht="15.75" customHeight="1" thickBot="1">
      <c r="A5" s="11">
        <v>1004</v>
      </c>
      <c r="B5" s="12" t="s">
        <v>35</v>
      </c>
      <c r="C5" s="12" t="s">
        <v>36</v>
      </c>
      <c r="D5" s="12" t="s">
        <v>28</v>
      </c>
      <c r="E5" s="11">
        <v>5</v>
      </c>
      <c r="F5" s="11">
        <v>50</v>
      </c>
      <c r="G5" s="13">
        <v>45505</v>
      </c>
      <c r="H5" s="6">
        <v>250</v>
      </c>
    </row>
    <row r="6" spans="1:15" ht="15.75" customHeight="1" thickBot="1">
      <c r="A6" s="11">
        <v>1005</v>
      </c>
      <c r="B6" s="12" t="s">
        <v>37</v>
      </c>
      <c r="C6" s="12" t="s">
        <v>27</v>
      </c>
      <c r="D6" s="12" t="s">
        <v>38</v>
      </c>
      <c r="E6" s="11">
        <v>30</v>
      </c>
      <c r="F6" s="11">
        <v>5</v>
      </c>
      <c r="G6" s="13">
        <v>45566</v>
      </c>
      <c r="H6" s="6">
        <v>150</v>
      </c>
    </row>
    <row r="7" spans="1:15" ht="15.75" customHeight="1" thickBot="1">
      <c r="A7" s="11">
        <v>1006</v>
      </c>
      <c r="B7" s="12" t="s">
        <v>39</v>
      </c>
      <c r="C7" s="12" t="s">
        <v>30</v>
      </c>
      <c r="D7" s="12" t="s">
        <v>28</v>
      </c>
      <c r="E7" s="11">
        <v>12</v>
      </c>
      <c r="F7" s="11">
        <v>50</v>
      </c>
      <c r="G7" s="13">
        <v>45597</v>
      </c>
      <c r="H7" s="6">
        <v>600</v>
      </c>
    </row>
    <row r="8" spans="1:15" ht="15.75" customHeight="1" thickBot="1">
      <c r="A8" s="11">
        <v>1007</v>
      </c>
      <c r="B8" s="12" t="s">
        <v>40</v>
      </c>
      <c r="C8" s="12" t="s">
        <v>33</v>
      </c>
      <c r="D8" s="12" t="s">
        <v>41</v>
      </c>
      <c r="E8" s="11">
        <v>25</v>
      </c>
      <c r="F8" s="11">
        <v>8</v>
      </c>
      <c r="G8" s="11" t="s">
        <v>42</v>
      </c>
      <c r="H8" s="6">
        <v>200</v>
      </c>
    </row>
    <row r="9" spans="1:15" ht="15.75" customHeight="1" thickBot="1">
      <c r="A9" s="11">
        <v>1008</v>
      </c>
      <c r="B9" s="12" t="s">
        <v>43</v>
      </c>
      <c r="C9" s="12" t="s">
        <v>36</v>
      </c>
      <c r="D9" s="12" t="s">
        <v>31</v>
      </c>
      <c r="E9" s="11">
        <v>18</v>
      </c>
      <c r="F9" s="11">
        <v>10</v>
      </c>
      <c r="G9" s="11" t="s">
        <v>44</v>
      </c>
      <c r="H9" s="6">
        <v>180</v>
      </c>
    </row>
    <row r="10" spans="1:15" ht="15.75" customHeight="1" thickBot="1">
      <c r="A10" s="11">
        <v>1009</v>
      </c>
      <c r="B10" s="12" t="s">
        <v>45</v>
      </c>
      <c r="C10" s="12" t="s">
        <v>27</v>
      </c>
      <c r="D10" s="12" t="s">
        <v>34</v>
      </c>
      <c r="E10" s="11">
        <v>22</v>
      </c>
      <c r="F10" s="11">
        <v>25</v>
      </c>
      <c r="G10" s="11" t="s">
        <v>46</v>
      </c>
      <c r="H10" s="6">
        <v>550</v>
      </c>
    </row>
    <row r="11" spans="1:15" ht="15.75" customHeight="1" thickBot="1">
      <c r="A11" s="11">
        <v>1010</v>
      </c>
      <c r="B11" s="12" t="s">
        <v>47</v>
      </c>
      <c r="C11" s="12" t="s">
        <v>30</v>
      </c>
      <c r="D11" s="12" t="s">
        <v>28</v>
      </c>
      <c r="E11" s="11">
        <v>8</v>
      </c>
      <c r="F11" s="11">
        <v>50</v>
      </c>
      <c r="G11" s="11" t="s">
        <v>48</v>
      </c>
      <c r="H11" s="6">
        <v>400</v>
      </c>
    </row>
    <row r="12" spans="1:15" ht="15.75" customHeight="1" thickBot="1">
      <c r="A12" s="11">
        <v>1011</v>
      </c>
      <c r="B12" s="12" t="s">
        <v>49</v>
      </c>
      <c r="C12" s="12" t="s">
        <v>33</v>
      </c>
      <c r="D12" s="12" t="s">
        <v>38</v>
      </c>
      <c r="E12" s="11">
        <v>40</v>
      </c>
      <c r="F12" s="11">
        <v>5</v>
      </c>
      <c r="G12" s="11" t="s">
        <v>50</v>
      </c>
      <c r="H12" s="6">
        <v>200</v>
      </c>
    </row>
    <row r="13" spans="1:15" ht="15.75" customHeight="1" thickBot="1">
      <c r="A13" s="11">
        <v>1012</v>
      </c>
      <c r="B13" s="12" t="s">
        <v>51</v>
      </c>
      <c r="C13" s="12" t="s">
        <v>36</v>
      </c>
      <c r="D13" s="12" t="s">
        <v>41</v>
      </c>
      <c r="E13" s="11">
        <v>35</v>
      </c>
      <c r="F13" s="11">
        <v>8</v>
      </c>
      <c r="G13" s="11" t="s">
        <v>52</v>
      </c>
      <c r="H13" s="6">
        <v>280</v>
      </c>
    </row>
    <row r="14" spans="1:15" ht="15.75" customHeight="1" thickBot="1">
      <c r="A14" s="11">
        <v>1013</v>
      </c>
      <c r="B14" s="12" t="s">
        <v>53</v>
      </c>
      <c r="C14" s="12" t="s">
        <v>27</v>
      </c>
      <c r="D14" s="12" t="s">
        <v>28</v>
      </c>
      <c r="E14" s="11">
        <v>14</v>
      </c>
      <c r="F14" s="11">
        <v>50</v>
      </c>
      <c r="G14" s="11" t="s">
        <v>54</v>
      </c>
      <c r="H14" s="6">
        <v>700</v>
      </c>
    </row>
    <row r="15" spans="1:15" ht="15.75" customHeight="1" thickBot="1">
      <c r="A15" s="11">
        <v>1014</v>
      </c>
      <c r="B15" s="12" t="s">
        <v>55</v>
      </c>
      <c r="C15" s="12" t="s">
        <v>30</v>
      </c>
      <c r="D15" s="12" t="s">
        <v>31</v>
      </c>
      <c r="E15" s="11">
        <v>28</v>
      </c>
      <c r="F15" s="11">
        <v>10</v>
      </c>
      <c r="G15" s="11" t="s">
        <v>56</v>
      </c>
      <c r="H15" s="6">
        <v>280</v>
      </c>
    </row>
    <row r="16" spans="1:15" ht="15.75" customHeight="1" thickBot="1">
      <c r="A16" s="11">
        <v>1015</v>
      </c>
      <c r="B16" s="12" t="s">
        <v>57</v>
      </c>
      <c r="C16" s="12" t="s">
        <v>33</v>
      </c>
      <c r="D16" s="12" t="s">
        <v>34</v>
      </c>
      <c r="E16" s="11">
        <v>12</v>
      </c>
      <c r="F16" s="11">
        <v>25</v>
      </c>
      <c r="G16" s="11" t="s">
        <v>58</v>
      </c>
      <c r="H16" s="6">
        <v>300</v>
      </c>
    </row>
    <row r="17" spans="1:8" ht="15.75" customHeight="1" thickBot="1">
      <c r="A17" s="11">
        <v>1016</v>
      </c>
      <c r="B17" s="12" t="s">
        <v>59</v>
      </c>
      <c r="C17" s="12" t="s">
        <v>36</v>
      </c>
      <c r="D17" s="12" t="s">
        <v>38</v>
      </c>
      <c r="E17" s="11">
        <v>25</v>
      </c>
      <c r="F17" s="11">
        <v>5</v>
      </c>
      <c r="G17" s="11" t="s">
        <v>60</v>
      </c>
      <c r="H17" s="6">
        <v>125</v>
      </c>
    </row>
    <row r="18" spans="1:8" ht="15.75" customHeight="1" thickBot="1">
      <c r="A18" s="11">
        <v>1017</v>
      </c>
      <c r="B18" s="12" t="s">
        <v>61</v>
      </c>
      <c r="C18" s="12" t="s">
        <v>27</v>
      </c>
      <c r="D18" s="12" t="s">
        <v>41</v>
      </c>
      <c r="E18" s="11">
        <v>20</v>
      </c>
      <c r="F18" s="11">
        <v>8</v>
      </c>
      <c r="G18" s="11" t="s">
        <v>62</v>
      </c>
      <c r="H18" s="6">
        <v>160</v>
      </c>
    </row>
    <row r="19" spans="1:8" ht="15.75" customHeight="1" thickBot="1">
      <c r="A19" s="11">
        <v>1018</v>
      </c>
      <c r="B19" s="12" t="s">
        <v>63</v>
      </c>
      <c r="C19" s="12" t="s">
        <v>30</v>
      </c>
      <c r="D19" s="12" t="s">
        <v>28</v>
      </c>
      <c r="E19" s="11">
        <v>10</v>
      </c>
      <c r="F19" s="11">
        <v>50</v>
      </c>
      <c r="G19" s="11" t="s">
        <v>64</v>
      </c>
      <c r="H19" s="6">
        <v>500</v>
      </c>
    </row>
    <row r="20" spans="1:8" ht="15.75" customHeight="1" thickBot="1">
      <c r="A20" s="11">
        <v>1019</v>
      </c>
      <c r="B20" s="12" t="s">
        <v>65</v>
      </c>
      <c r="C20" s="12" t="s">
        <v>33</v>
      </c>
      <c r="D20" s="12" t="s">
        <v>31</v>
      </c>
      <c r="E20" s="11">
        <v>15</v>
      </c>
      <c r="F20" s="11">
        <v>10</v>
      </c>
      <c r="G20" s="11" t="s">
        <v>66</v>
      </c>
      <c r="H20" s="6">
        <v>150</v>
      </c>
    </row>
    <row r="21" spans="1:8" ht="15.75" customHeight="1" thickBot="1">
      <c r="A21" s="11">
        <v>1020</v>
      </c>
      <c r="B21" s="12" t="s">
        <v>67</v>
      </c>
      <c r="C21" s="12" t="s">
        <v>36</v>
      </c>
      <c r="D21" s="12" t="s">
        <v>34</v>
      </c>
      <c r="E21" s="11">
        <v>18</v>
      </c>
      <c r="F21" s="11">
        <v>25</v>
      </c>
      <c r="G21" s="13">
        <v>45293</v>
      </c>
      <c r="H21" s="6">
        <v>450</v>
      </c>
    </row>
    <row r="22" spans="1:8" ht="15.75" customHeight="1" thickBot="1">
      <c r="A22" s="11">
        <v>1021</v>
      </c>
      <c r="B22" s="12" t="s">
        <v>68</v>
      </c>
      <c r="C22" s="12" t="s">
        <v>27</v>
      </c>
      <c r="D22" s="12" t="s">
        <v>28</v>
      </c>
      <c r="E22" s="11">
        <v>9</v>
      </c>
      <c r="F22" s="11">
        <v>50</v>
      </c>
      <c r="G22" s="13">
        <v>45324</v>
      </c>
      <c r="H22" s="6">
        <v>450</v>
      </c>
    </row>
    <row r="23" spans="1:8" ht="15.75" customHeight="1" thickBot="1">
      <c r="A23" s="11">
        <v>1022</v>
      </c>
      <c r="B23" s="12" t="s">
        <v>69</v>
      </c>
      <c r="C23" s="12" t="s">
        <v>30</v>
      </c>
      <c r="D23" s="12" t="s">
        <v>38</v>
      </c>
      <c r="E23" s="11">
        <v>35</v>
      </c>
      <c r="F23" s="11">
        <v>5</v>
      </c>
      <c r="G23" s="13">
        <v>45353</v>
      </c>
      <c r="H23" s="6">
        <v>175</v>
      </c>
    </row>
    <row r="24" spans="1:8" ht="15.75" customHeight="1" thickBot="1">
      <c r="A24" s="11">
        <v>1023</v>
      </c>
      <c r="B24" s="12" t="s">
        <v>70</v>
      </c>
      <c r="C24" s="12" t="s">
        <v>33</v>
      </c>
      <c r="D24" s="12" t="s">
        <v>41</v>
      </c>
      <c r="E24" s="11">
        <v>30</v>
      </c>
      <c r="F24" s="11">
        <v>8</v>
      </c>
      <c r="G24" s="13">
        <v>45384</v>
      </c>
      <c r="H24" s="6">
        <v>240</v>
      </c>
    </row>
    <row r="25" spans="1:8" ht="15.75" customHeight="1" thickBot="1">
      <c r="A25" s="11">
        <v>1024</v>
      </c>
      <c r="B25" s="12" t="s">
        <v>71</v>
      </c>
      <c r="C25" s="12" t="s">
        <v>36</v>
      </c>
      <c r="D25" s="12" t="s">
        <v>28</v>
      </c>
      <c r="E25" s="11">
        <v>11</v>
      </c>
      <c r="F25" s="11">
        <v>50</v>
      </c>
      <c r="G25" s="13">
        <v>45445</v>
      </c>
      <c r="H25" s="6">
        <v>550</v>
      </c>
    </row>
    <row r="26" spans="1:8" ht="15.75" customHeight="1" thickBot="1">
      <c r="A26" s="11">
        <v>1025</v>
      </c>
      <c r="B26" s="12" t="s">
        <v>72</v>
      </c>
      <c r="C26" s="12" t="s">
        <v>27</v>
      </c>
      <c r="D26" s="12" t="s">
        <v>31</v>
      </c>
      <c r="E26" s="11">
        <v>14</v>
      </c>
      <c r="F26" s="11">
        <v>10</v>
      </c>
      <c r="G26" s="13">
        <v>45475</v>
      </c>
      <c r="H26" s="6">
        <v>140</v>
      </c>
    </row>
    <row r="27" spans="1:8" ht="15.75" customHeight="1" thickBot="1">
      <c r="A27" s="11">
        <v>1026</v>
      </c>
      <c r="B27" s="12" t="s">
        <v>73</v>
      </c>
      <c r="C27" s="12" t="s">
        <v>30</v>
      </c>
      <c r="D27" s="12" t="s">
        <v>34</v>
      </c>
      <c r="E27" s="11">
        <v>16</v>
      </c>
      <c r="F27" s="11">
        <v>25</v>
      </c>
      <c r="G27" s="13">
        <v>45506</v>
      </c>
      <c r="H27" s="6">
        <v>400</v>
      </c>
    </row>
    <row r="28" spans="1:8" ht="15.75" customHeight="1" thickBot="1">
      <c r="A28" s="11">
        <v>1027</v>
      </c>
      <c r="B28" s="12" t="s">
        <v>74</v>
      </c>
      <c r="C28" s="12" t="s">
        <v>33</v>
      </c>
      <c r="D28" s="12" t="s">
        <v>38</v>
      </c>
      <c r="E28" s="11">
        <v>22</v>
      </c>
      <c r="F28" s="11">
        <v>5</v>
      </c>
      <c r="G28" s="13">
        <v>45537</v>
      </c>
      <c r="H28" s="6">
        <v>110</v>
      </c>
    </row>
    <row r="29" spans="1:8" ht="15.75" customHeight="1" thickBot="1">
      <c r="A29" s="11">
        <v>1028</v>
      </c>
      <c r="B29" s="12" t="s">
        <v>75</v>
      </c>
      <c r="C29" s="12" t="s">
        <v>36</v>
      </c>
      <c r="D29" s="12" t="s">
        <v>41</v>
      </c>
      <c r="E29" s="11">
        <v>27</v>
      </c>
      <c r="F29" s="11">
        <v>8</v>
      </c>
      <c r="G29" s="13">
        <v>45567</v>
      </c>
      <c r="H29" s="6">
        <v>216</v>
      </c>
    </row>
    <row r="30" spans="1:8" ht="15.75" customHeight="1" thickBot="1">
      <c r="A30" s="11">
        <v>1029</v>
      </c>
      <c r="B30" s="12" t="s">
        <v>76</v>
      </c>
      <c r="C30" s="12" t="s">
        <v>27</v>
      </c>
      <c r="D30" s="12" t="s">
        <v>28</v>
      </c>
      <c r="E30" s="11">
        <v>13</v>
      </c>
      <c r="F30" s="11">
        <v>50</v>
      </c>
      <c r="G30" s="13">
        <v>45628</v>
      </c>
      <c r="H30" s="6">
        <v>650</v>
      </c>
    </row>
    <row r="31" spans="1:8" ht="15.75" customHeight="1" thickBot="1">
      <c r="A31" s="11">
        <v>1030</v>
      </c>
      <c r="B31" s="12" t="s">
        <v>77</v>
      </c>
      <c r="C31" s="12" t="s">
        <v>30</v>
      </c>
      <c r="D31" s="12" t="s">
        <v>31</v>
      </c>
      <c r="E31" s="11">
        <v>32</v>
      </c>
      <c r="F31" s="11">
        <v>10</v>
      </c>
      <c r="G31" s="11" t="s">
        <v>78</v>
      </c>
      <c r="H31" s="6">
        <v>320</v>
      </c>
    </row>
    <row r="32" spans="1:8" ht="15.75" customHeight="1" thickBot="1">
      <c r="A32" s="11">
        <v>1031</v>
      </c>
      <c r="B32" s="12" t="s">
        <v>79</v>
      </c>
      <c r="C32" s="12" t="s">
        <v>33</v>
      </c>
      <c r="D32" s="12" t="s">
        <v>34</v>
      </c>
      <c r="E32" s="11">
        <v>10</v>
      </c>
      <c r="F32" s="11">
        <v>25</v>
      </c>
      <c r="G32" s="11" t="s">
        <v>80</v>
      </c>
      <c r="H32" s="6">
        <v>250</v>
      </c>
    </row>
    <row r="33" spans="1:8" ht="15.75" customHeight="1" thickBot="1">
      <c r="A33" s="11">
        <v>1032</v>
      </c>
      <c r="B33" s="12" t="s">
        <v>81</v>
      </c>
      <c r="C33" s="12" t="s">
        <v>36</v>
      </c>
      <c r="D33" s="12" t="s">
        <v>38</v>
      </c>
      <c r="E33" s="11">
        <v>18</v>
      </c>
      <c r="F33" s="11">
        <v>5</v>
      </c>
      <c r="G33" s="11" t="s">
        <v>82</v>
      </c>
      <c r="H33" s="6">
        <v>90</v>
      </c>
    </row>
    <row r="34" spans="1:8" ht="15.75" customHeight="1" thickBot="1">
      <c r="A34" s="11">
        <v>1033</v>
      </c>
      <c r="B34" s="12" t="s">
        <v>83</v>
      </c>
      <c r="C34" s="12" t="s">
        <v>27</v>
      </c>
      <c r="D34" s="12" t="s">
        <v>41</v>
      </c>
      <c r="E34" s="11">
        <v>22</v>
      </c>
      <c r="F34" s="11">
        <v>8</v>
      </c>
      <c r="G34" s="11" t="s">
        <v>84</v>
      </c>
      <c r="H34" s="6">
        <v>176</v>
      </c>
    </row>
    <row r="35" spans="1:8" ht="15.75" customHeight="1" thickBot="1">
      <c r="A35" s="11">
        <v>1034</v>
      </c>
      <c r="B35" s="12" t="s">
        <v>85</v>
      </c>
      <c r="C35" s="12" t="s">
        <v>30</v>
      </c>
      <c r="D35" s="12" t="s">
        <v>28</v>
      </c>
      <c r="E35" s="11">
        <v>17</v>
      </c>
      <c r="F35" s="11">
        <v>50</v>
      </c>
      <c r="G35" s="11" t="s">
        <v>86</v>
      </c>
      <c r="H35" s="6">
        <v>850</v>
      </c>
    </row>
    <row r="36" spans="1:8" ht="15.75" customHeight="1" thickBot="1">
      <c r="A36" s="11">
        <v>1035</v>
      </c>
      <c r="B36" s="12" t="s">
        <v>87</v>
      </c>
      <c r="C36" s="12" t="s">
        <v>33</v>
      </c>
      <c r="D36" s="12" t="s">
        <v>31</v>
      </c>
      <c r="E36" s="11">
        <v>19</v>
      </c>
      <c r="F36" s="11">
        <v>10</v>
      </c>
      <c r="G36" s="11" t="s">
        <v>88</v>
      </c>
      <c r="H36" s="6">
        <v>190</v>
      </c>
    </row>
    <row r="37" spans="1:8" ht="15.75" customHeight="1" thickBot="1">
      <c r="A37" s="11">
        <v>1036</v>
      </c>
      <c r="B37" s="12" t="s">
        <v>89</v>
      </c>
      <c r="C37" s="12" t="s">
        <v>36</v>
      </c>
      <c r="D37" s="12" t="s">
        <v>34</v>
      </c>
      <c r="E37" s="11">
        <v>15</v>
      </c>
      <c r="F37" s="11">
        <v>25</v>
      </c>
      <c r="G37" s="11" t="s">
        <v>90</v>
      </c>
      <c r="H37" s="6">
        <v>375</v>
      </c>
    </row>
    <row r="38" spans="1:8" ht="15.75" customHeight="1" thickBot="1">
      <c r="A38" s="11">
        <v>1037</v>
      </c>
      <c r="B38" s="12" t="s">
        <v>91</v>
      </c>
      <c r="C38" s="12" t="s">
        <v>27</v>
      </c>
      <c r="D38" s="12" t="s">
        <v>38</v>
      </c>
      <c r="E38" s="11">
        <v>28</v>
      </c>
      <c r="F38" s="11">
        <v>5</v>
      </c>
      <c r="G38" s="11" t="s">
        <v>92</v>
      </c>
      <c r="H38" s="6">
        <v>140</v>
      </c>
    </row>
    <row r="39" spans="1:8" ht="15.75" customHeight="1" thickBot="1">
      <c r="A39" s="11">
        <v>1038</v>
      </c>
      <c r="B39" s="12" t="s">
        <v>93</v>
      </c>
      <c r="C39" s="12" t="s">
        <v>30</v>
      </c>
      <c r="D39" s="12" t="s">
        <v>41</v>
      </c>
      <c r="E39" s="11">
        <v>24</v>
      </c>
      <c r="F39" s="11">
        <v>8</v>
      </c>
      <c r="G39" s="11" t="s">
        <v>94</v>
      </c>
      <c r="H39" s="6">
        <v>192</v>
      </c>
    </row>
    <row r="40" spans="1:8" ht="15.75" customHeight="1" thickBot="1">
      <c r="A40" s="11">
        <v>1039</v>
      </c>
      <c r="B40" s="12" t="s">
        <v>95</v>
      </c>
      <c r="C40" s="12" t="s">
        <v>33</v>
      </c>
      <c r="D40" s="12" t="s">
        <v>28</v>
      </c>
      <c r="E40" s="11">
        <v>16</v>
      </c>
      <c r="F40" s="11">
        <v>50</v>
      </c>
      <c r="G40" s="11" t="s">
        <v>96</v>
      </c>
      <c r="H40" s="6">
        <v>800</v>
      </c>
    </row>
    <row r="41" spans="1:8" ht="15.75" customHeight="1" thickBot="1">
      <c r="A41" s="11">
        <v>1040</v>
      </c>
      <c r="B41" s="12" t="s">
        <v>97</v>
      </c>
      <c r="C41" s="12" t="s">
        <v>36</v>
      </c>
      <c r="D41" s="12" t="s">
        <v>31</v>
      </c>
      <c r="E41" s="11">
        <v>27</v>
      </c>
      <c r="F41" s="11">
        <v>10</v>
      </c>
      <c r="G41" s="11" t="s">
        <v>98</v>
      </c>
      <c r="H41" s="6">
        <v>270</v>
      </c>
    </row>
    <row r="42" spans="1:8" ht="15.75" customHeight="1" thickBot="1">
      <c r="A42" s="11">
        <v>1041</v>
      </c>
      <c r="B42" s="12" t="s">
        <v>99</v>
      </c>
      <c r="C42" s="12" t="s">
        <v>27</v>
      </c>
      <c r="D42" s="12" t="s">
        <v>34</v>
      </c>
      <c r="E42" s="11">
        <v>21</v>
      </c>
      <c r="F42" s="11">
        <v>25</v>
      </c>
      <c r="G42" s="11" t="s">
        <v>100</v>
      </c>
      <c r="H42" s="6">
        <v>525</v>
      </c>
    </row>
    <row r="43" spans="1:8" ht="15.75" customHeight="1" thickBot="1">
      <c r="A43" s="11">
        <v>1042</v>
      </c>
      <c r="B43" s="12" t="s">
        <v>101</v>
      </c>
      <c r="C43" s="12" t="s">
        <v>30</v>
      </c>
      <c r="D43" s="12" t="s">
        <v>38</v>
      </c>
      <c r="E43" s="11">
        <v>30</v>
      </c>
      <c r="F43" s="11">
        <v>5</v>
      </c>
      <c r="G43" s="11" t="s">
        <v>102</v>
      </c>
      <c r="H43" s="6">
        <v>150</v>
      </c>
    </row>
    <row r="44" spans="1:8" ht="15.75" customHeight="1" thickBot="1">
      <c r="A44" s="11">
        <v>1043</v>
      </c>
      <c r="B44" s="12" t="s">
        <v>103</v>
      </c>
      <c r="C44" s="12" t="s">
        <v>33</v>
      </c>
      <c r="D44" s="12" t="s">
        <v>41</v>
      </c>
      <c r="E44" s="11">
        <v>26</v>
      </c>
      <c r="F44" s="11">
        <v>8</v>
      </c>
      <c r="G44" s="13">
        <v>45294</v>
      </c>
      <c r="H44" s="6">
        <v>208</v>
      </c>
    </row>
    <row r="45" spans="1:8" ht="15.75" customHeight="1" thickBot="1">
      <c r="A45" s="11">
        <v>1044</v>
      </c>
      <c r="B45" s="12" t="s">
        <v>104</v>
      </c>
      <c r="C45" s="12" t="s">
        <v>36</v>
      </c>
      <c r="D45" s="12" t="s">
        <v>28</v>
      </c>
      <c r="E45" s="11">
        <v>14</v>
      </c>
      <c r="F45" s="11">
        <v>50</v>
      </c>
      <c r="G45" s="13">
        <v>45325</v>
      </c>
      <c r="H45" s="6">
        <v>700</v>
      </c>
    </row>
    <row r="46" spans="1:8" ht="15.75" customHeight="1" thickBot="1">
      <c r="A46" s="11">
        <v>1045</v>
      </c>
      <c r="B46" s="12" t="s">
        <v>105</v>
      </c>
      <c r="C46" s="12" t="s">
        <v>27</v>
      </c>
      <c r="D46" s="12" t="s">
        <v>31</v>
      </c>
      <c r="E46" s="11">
        <v>20</v>
      </c>
      <c r="F46" s="11">
        <v>10</v>
      </c>
      <c r="G46" s="13">
        <v>45354</v>
      </c>
      <c r="H46" s="6">
        <v>200</v>
      </c>
    </row>
    <row r="47" spans="1:8" ht="15.75" customHeight="1" thickBot="1">
      <c r="A47" s="11">
        <v>1046</v>
      </c>
      <c r="B47" s="12" t="s">
        <v>106</v>
      </c>
      <c r="C47" s="12" t="s">
        <v>30</v>
      </c>
      <c r="D47" s="12" t="s">
        <v>34</v>
      </c>
      <c r="E47" s="11">
        <v>17</v>
      </c>
      <c r="F47" s="11">
        <v>25</v>
      </c>
      <c r="G47" s="13">
        <v>45385</v>
      </c>
      <c r="H47" s="6">
        <v>425</v>
      </c>
    </row>
    <row r="48" spans="1:8" ht="15.75" customHeight="1" thickBot="1">
      <c r="A48" s="11">
        <v>1047</v>
      </c>
      <c r="B48" s="12" t="s">
        <v>107</v>
      </c>
      <c r="C48" s="12" t="s">
        <v>33</v>
      </c>
      <c r="D48" s="12" t="s">
        <v>38</v>
      </c>
      <c r="E48" s="11">
        <v>19</v>
      </c>
      <c r="F48" s="11">
        <v>5</v>
      </c>
      <c r="G48" s="13">
        <v>45415</v>
      </c>
      <c r="H48" s="6">
        <v>95</v>
      </c>
    </row>
    <row r="49" spans="1:8" ht="15.75" customHeight="1" thickBot="1">
      <c r="A49" s="11">
        <v>1048</v>
      </c>
      <c r="B49" s="12" t="s">
        <v>108</v>
      </c>
      <c r="C49" s="12" t="s">
        <v>36</v>
      </c>
      <c r="D49" s="12" t="s">
        <v>41</v>
      </c>
      <c r="E49" s="11">
        <v>32</v>
      </c>
      <c r="F49" s="11">
        <v>8</v>
      </c>
      <c r="G49" s="13">
        <v>45446</v>
      </c>
      <c r="H49" s="6">
        <v>256</v>
      </c>
    </row>
    <row r="50" spans="1:8" ht="15.75" customHeight="1" thickBot="1">
      <c r="A50" s="11">
        <v>1049</v>
      </c>
      <c r="B50" s="12" t="s">
        <v>109</v>
      </c>
      <c r="C50" s="12" t="s">
        <v>27</v>
      </c>
      <c r="D50" s="12" t="s">
        <v>28</v>
      </c>
      <c r="E50" s="11">
        <v>12</v>
      </c>
      <c r="F50" s="11">
        <v>50</v>
      </c>
      <c r="G50" s="13">
        <v>45476</v>
      </c>
      <c r="H50" s="6">
        <v>600</v>
      </c>
    </row>
    <row r="51" spans="1:8" ht="15.75" customHeight="1" thickBot="1">
      <c r="A51" s="11">
        <v>1050</v>
      </c>
      <c r="B51" s="12" t="s">
        <v>110</v>
      </c>
      <c r="C51" s="12" t="s">
        <v>30</v>
      </c>
      <c r="D51" s="12" t="s">
        <v>31</v>
      </c>
      <c r="E51" s="11">
        <v>25</v>
      </c>
      <c r="F51" s="11">
        <v>10</v>
      </c>
      <c r="G51" s="13">
        <v>45507</v>
      </c>
      <c r="H51" s="6">
        <v>250</v>
      </c>
    </row>
  </sheetData>
  <mergeCells count="1">
    <mergeCell ref="J3:O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tabSelected="1" topLeftCell="G1" workbookViewId="0">
      <selection activeCell="P2" sqref="P2"/>
    </sheetView>
  </sheetViews>
  <sheetFormatPr defaultRowHeight="15"/>
  <cols>
    <col min="2" max="2" width="17.7109375" customWidth="1"/>
    <col min="4" max="4" width="14.140625" customWidth="1"/>
    <col min="5" max="5" width="10.42578125" customWidth="1"/>
    <col min="7" max="7" width="14.7109375" customWidth="1"/>
    <col min="8" max="8" width="10.140625" customWidth="1"/>
  </cols>
  <sheetData>
    <row r="1" spans="1:14" ht="15.75" customHeight="1" thickBot="1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21" t="s">
        <v>15</v>
      </c>
    </row>
    <row r="2" spans="1:14" ht="15.75" customHeight="1" thickBot="1">
      <c r="A2" s="11">
        <v>1001</v>
      </c>
      <c r="B2" s="12" t="s">
        <v>26</v>
      </c>
      <c r="C2" s="12" t="s">
        <v>27</v>
      </c>
      <c r="D2" s="12" t="s">
        <v>28</v>
      </c>
      <c r="E2" s="11">
        <v>10</v>
      </c>
      <c r="F2" s="11">
        <v>50</v>
      </c>
      <c r="G2" s="13">
        <v>45413</v>
      </c>
      <c r="H2" s="6">
        <v>500</v>
      </c>
      <c r="I2" s="31" t="s">
        <v>117</v>
      </c>
      <c r="J2" s="32"/>
      <c r="K2" s="32"/>
      <c r="L2" s="32"/>
      <c r="M2" s="32"/>
      <c r="N2" s="32"/>
    </row>
    <row r="3" spans="1:14" ht="15.75" customHeight="1" thickBot="1">
      <c r="A3" s="11">
        <v>1002</v>
      </c>
      <c r="B3" s="12" t="s">
        <v>29</v>
      </c>
      <c r="C3" s="12" t="s">
        <v>30</v>
      </c>
      <c r="D3" s="12" t="s">
        <v>31</v>
      </c>
      <c r="E3" s="11">
        <v>20</v>
      </c>
      <c r="F3" s="11">
        <v>10</v>
      </c>
      <c r="G3" s="13">
        <v>45444</v>
      </c>
      <c r="H3" s="6">
        <v>200</v>
      </c>
      <c r="I3" s="32"/>
      <c r="J3" s="32"/>
      <c r="K3" s="32"/>
      <c r="L3" s="32"/>
      <c r="M3" s="32"/>
      <c r="N3" s="32"/>
    </row>
    <row r="4" spans="1:14" ht="15.75" customHeight="1" thickBot="1">
      <c r="A4" s="11">
        <v>1003</v>
      </c>
      <c r="B4" s="12" t="s">
        <v>32</v>
      </c>
      <c r="C4" s="12" t="s">
        <v>33</v>
      </c>
      <c r="D4" s="12" t="s">
        <v>34</v>
      </c>
      <c r="E4" s="11">
        <v>15</v>
      </c>
      <c r="F4" s="11">
        <v>25</v>
      </c>
      <c r="G4" s="13">
        <v>45474</v>
      </c>
      <c r="H4" s="6">
        <v>375</v>
      </c>
    </row>
    <row r="5" spans="1:14" ht="15.75" customHeight="1" thickBot="1">
      <c r="A5" s="11">
        <v>1004</v>
      </c>
      <c r="B5" s="12" t="s">
        <v>35</v>
      </c>
      <c r="C5" s="12" t="s">
        <v>36</v>
      </c>
      <c r="D5" s="12" t="s">
        <v>28</v>
      </c>
      <c r="E5" s="11">
        <v>5</v>
      </c>
      <c r="F5" s="11">
        <v>50</v>
      </c>
      <c r="G5" s="13">
        <v>45505</v>
      </c>
      <c r="H5" s="6">
        <v>250</v>
      </c>
    </row>
    <row r="6" spans="1:14" ht="15.75" customHeight="1" thickBot="1">
      <c r="A6" s="11">
        <v>1005</v>
      </c>
      <c r="B6" s="12" t="s">
        <v>37</v>
      </c>
      <c r="C6" s="12" t="s">
        <v>27</v>
      </c>
      <c r="D6" s="12" t="s">
        <v>38</v>
      </c>
      <c r="E6" s="11">
        <v>30</v>
      </c>
      <c r="F6" s="11">
        <v>5</v>
      </c>
      <c r="G6" s="13">
        <v>45566</v>
      </c>
      <c r="H6" s="6">
        <v>150</v>
      </c>
    </row>
    <row r="7" spans="1:14" ht="15.75" customHeight="1" thickBot="1">
      <c r="A7" s="11">
        <v>1006</v>
      </c>
      <c r="B7" s="12" t="s">
        <v>39</v>
      </c>
      <c r="C7" s="12" t="s">
        <v>30</v>
      </c>
      <c r="D7" s="12" t="s">
        <v>28</v>
      </c>
      <c r="E7" s="11">
        <v>12</v>
      </c>
      <c r="F7" s="11">
        <v>50</v>
      </c>
      <c r="G7" s="13">
        <v>45597</v>
      </c>
      <c r="H7" s="6">
        <v>600</v>
      </c>
    </row>
    <row r="8" spans="1:14" ht="15.75" customHeight="1" thickBot="1">
      <c r="A8" s="11">
        <v>1007</v>
      </c>
      <c r="B8" s="12" t="s">
        <v>40</v>
      </c>
      <c r="C8" s="12" t="s">
        <v>33</v>
      </c>
      <c r="D8" s="12" t="s">
        <v>41</v>
      </c>
      <c r="E8" s="11">
        <v>25</v>
      </c>
      <c r="F8" s="11">
        <v>8</v>
      </c>
      <c r="G8" s="11" t="s">
        <v>42</v>
      </c>
      <c r="H8" s="6">
        <v>200</v>
      </c>
    </row>
    <row r="9" spans="1:14" ht="15.75" customHeight="1" thickBot="1">
      <c r="A9" s="11">
        <v>1008</v>
      </c>
      <c r="B9" s="12" t="s">
        <v>43</v>
      </c>
      <c r="C9" s="12" t="s">
        <v>36</v>
      </c>
      <c r="D9" s="12" t="s">
        <v>31</v>
      </c>
      <c r="E9" s="11">
        <v>18</v>
      </c>
      <c r="F9" s="11">
        <v>10</v>
      </c>
      <c r="G9" s="11" t="s">
        <v>44</v>
      </c>
      <c r="H9" s="6">
        <v>180</v>
      </c>
    </row>
    <row r="10" spans="1:14" ht="15.75" customHeight="1" thickBot="1">
      <c r="A10" s="11">
        <v>1009</v>
      </c>
      <c r="B10" s="12" t="s">
        <v>45</v>
      </c>
      <c r="C10" s="12" t="s">
        <v>27</v>
      </c>
      <c r="D10" s="12" t="s">
        <v>34</v>
      </c>
      <c r="E10" s="11">
        <v>22</v>
      </c>
      <c r="F10" s="11">
        <v>25</v>
      </c>
      <c r="G10" s="11" t="s">
        <v>46</v>
      </c>
      <c r="H10" s="6">
        <v>550</v>
      </c>
    </row>
    <row r="11" spans="1:14" ht="15.75" customHeight="1" thickBot="1">
      <c r="A11" s="11">
        <v>1010</v>
      </c>
      <c r="B11" s="12" t="s">
        <v>47</v>
      </c>
      <c r="C11" s="12" t="s">
        <v>30</v>
      </c>
      <c r="D11" s="12" t="s">
        <v>28</v>
      </c>
      <c r="E11" s="11">
        <v>8</v>
      </c>
      <c r="F11" s="11">
        <v>50</v>
      </c>
      <c r="G11" s="11" t="s">
        <v>48</v>
      </c>
      <c r="H11" s="6">
        <v>400</v>
      </c>
    </row>
    <row r="12" spans="1:14" ht="15.75" customHeight="1" thickBot="1">
      <c r="A12" s="11">
        <v>1011</v>
      </c>
      <c r="B12" s="12" t="s">
        <v>49</v>
      </c>
      <c r="C12" s="12" t="s">
        <v>33</v>
      </c>
      <c r="D12" s="12" t="s">
        <v>38</v>
      </c>
      <c r="E12" s="11">
        <v>40</v>
      </c>
      <c r="F12" s="11">
        <v>5</v>
      </c>
      <c r="G12" s="11" t="s">
        <v>50</v>
      </c>
      <c r="H12" s="6">
        <v>200</v>
      </c>
    </row>
    <row r="13" spans="1:14" ht="15.75" customHeight="1" thickBot="1">
      <c r="A13" s="11">
        <v>1012</v>
      </c>
      <c r="B13" s="12" t="s">
        <v>51</v>
      </c>
      <c r="C13" s="12" t="s">
        <v>36</v>
      </c>
      <c r="D13" s="12" t="s">
        <v>41</v>
      </c>
      <c r="E13" s="11">
        <v>35</v>
      </c>
      <c r="F13" s="11">
        <v>8</v>
      </c>
      <c r="G13" s="11" t="s">
        <v>52</v>
      </c>
      <c r="H13" s="6">
        <v>280</v>
      </c>
    </row>
    <row r="14" spans="1:14" ht="15.75" customHeight="1" thickBot="1">
      <c r="A14" s="11">
        <v>1013</v>
      </c>
      <c r="B14" s="12" t="s">
        <v>53</v>
      </c>
      <c r="C14" s="12" t="s">
        <v>27</v>
      </c>
      <c r="D14" s="12" t="s">
        <v>28</v>
      </c>
      <c r="E14" s="11">
        <v>14</v>
      </c>
      <c r="F14" s="11">
        <v>50</v>
      </c>
      <c r="G14" s="11" t="s">
        <v>54</v>
      </c>
      <c r="H14" s="6">
        <v>700</v>
      </c>
    </row>
    <row r="15" spans="1:14" ht="15.75" customHeight="1" thickBot="1">
      <c r="A15" s="11">
        <v>1014</v>
      </c>
      <c r="B15" s="12" t="s">
        <v>55</v>
      </c>
      <c r="C15" s="12" t="s">
        <v>30</v>
      </c>
      <c r="D15" s="12" t="s">
        <v>31</v>
      </c>
      <c r="E15" s="11">
        <v>28</v>
      </c>
      <c r="F15" s="11">
        <v>10</v>
      </c>
      <c r="G15" s="11" t="s">
        <v>56</v>
      </c>
      <c r="H15" s="6">
        <v>280</v>
      </c>
    </row>
    <row r="16" spans="1:14" ht="15.75" customHeight="1" thickBot="1">
      <c r="A16" s="11">
        <v>1015</v>
      </c>
      <c r="B16" s="12" t="s">
        <v>57</v>
      </c>
      <c r="C16" s="12" t="s">
        <v>33</v>
      </c>
      <c r="D16" s="12" t="s">
        <v>34</v>
      </c>
      <c r="E16" s="11">
        <v>12</v>
      </c>
      <c r="F16" s="11">
        <v>25</v>
      </c>
      <c r="G16" s="11" t="s">
        <v>58</v>
      </c>
      <c r="H16" s="6">
        <v>300</v>
      </c>
    </row>
    <row r="17" spans="1:8" ht="15.75" customHeight="1" thickBot="1">
      <c r="A17" s="11">
        <v>1016</v>
      </c>
      <c r="B17" s="12" t="s">
        <v>59</v>
      </c>
      <c r="C17" s="12" t="s">
        <v>36</v>
      </c>
      <c r="D17" s="12" t="s">
        <v>38</v>
      </c>
      <c r="E17" s="11">
        <v>25</v>
      </c>
      <c r="F17" s="11">
        <v>5</v>
      </c>
      <c r="G17" s="11" t="s">
        <v>60</v>
      </c>
      <c r="H17" s="6">
        <v>125</v>
      </c>
    </row>
    <row r="18" spans="1:8" ht="15.75" customHeight="1" thickBot="1">
      <c r="A18" s="11">
        <v>1017</v>
      </c>
      <c r="B18" s="12" t="s">
        <v>61</v>
      </c>
      <c r="C18" s="12" t="s">
        <v>27</v>
      </c>
      <c r="D18" s="12" t="s">
        <v>41</v>
      </c>
      <c r="E18" s="11">
        <v>20</v>
      </c>
      <c r="F18" s="11">
        <v>8</v>
      </c>
      <c r="G18" s="11" t="s">
        <v>62</v>
      </c>
      <c r="H18" s="6">
        <v>160</v>
      </c>
    </row>
    <row r="19" spans="1:8" ht="15.75" customHeight="1" thickBot="1">
      <c r="A19" s="11">
        <v>1018</v>
      </c>
      <c r="B19" s="12" t="s">
        <v>63</v>
      </c>
      <c r="C19" s="12" t="s">
        <v>30</v>
      </c>
      <c r="D19" s="12" t="s">
        <v>28</v>
      </c>
      <c r="E19" s="11">
        <v>10</v>
      </c>
      <c r="F19" s="11">
        <v>50</v>
      </c>
      <c r="G19" s="11" t="s">
        <v>64</v>
      </c>
      <c r="H19" s="6">
        <v>500</v>
      </c>
    </row>
    <row r="20" spans="1:8" ht="15.75" customHeight="1" thickBot="1">
      <c r="A20" s="11">
        <v>1019</v>
      </c>
      <c r="B20" s="12" t="s">
        <v>65</v>
      </c>
      <c r="C20" s="12" t="s">
        <v>33</v>
      </c>
      <c r="D20" s="12" t="s">
        <v>31</v>
      </c>
      <c r="E20" s="11">
        <v>15</v>
      </c>
      <c r="F20" s="11">
        <v>10</v>
      </c>
      <c r="G20" s="11" t="s">
        <v>66</v>
      </c>
      <c r="H20" s="6">
        <v>150</v>
      </c>
    </row>
    <row r="21" spans="1:8" ht="15.75" customHeight="1" thickBot="1">
      <c r="A21" s="11">
        <v>1020</v>
      </c>
      <c r="B21" s="12" t="s">
        <v>67</v>
      </c>
      <c r="C21" s="12" t="s">
        <v>36</v>
      </c>
      <c r="D21" s="12" t="s">
        <v>34</v>
      </c>
      <c r="E21" s="11">
        <v>18</v>
      </c>
      <c r="F21" s="11">
        <v>25</v>
      </c>
      <c r="G21" s="13">
        <v>45293</v>
      </c>
      <c r="H21" s="6">
        <v>450</v>
      </c>
    </row>
    <row r="22" spans="1:8" ht="15.75" customHeight="1" thickBot="1">
      <c r="A22" s="11">
        <v>1021</v>
      </c>
      <c r="B22" s="12" t="s">
        <v>68</v>
      </c>
      <c r="C22" s="12" t="s">
        <v>27</v>
      </c>
      <c r="D22" s="12" t="s">
        <v>28</v>
      </c>
      <c r="E22" s="11">
        <v>9</v>
      </c>
      <c r="F22" s="11">
        <v>50</v>
      </c>
      <c r="G22" s="13">
        <v>45324</v>
      </c>
      <c r="H22" s="6">
        <v>450</v>
      </c>
    </row>
    <row r="23" spans="1:8" ht="15.75" customHeight="1" thickBot="1">
      <c r="A23" s="11">
        <v>1022</v>
      </c>
      <c r="B23" s="12" t="s">
        <v>69</v>
      </c>
      <c r="C23" s="12" t="s">
        <v>30</v>
      </c>
      <c r="D23" s="12" t="s">
        <v>38</v>
      </c>
      <c r="E23" s="11">
        <v>35</v>
      </c>
      <c r="F23" s="11">
        <v>5</v>
      </c>
      <c r="G23" s="13">
        <v>45353</v>
      </c>
      <c r="H23" s="6">
        <v>175</v>
      </c>
    </row>
    <row r="24" spans="1:8" ht="15.75" customHeight="1" thickBot="1">
      <c r="A24" s="11">
        <v>1023</v>
      </c>
      <c r="B24" s="12" t="s">
        <v>70</v>
      </c>
      <c r="C24" s="12" t="s">
        <v>33</v>
      </c>
      <c r="D24" s="12" t="s">
        <v>41</v>
      </c>
      <c r="E24" s="11">
        <v>30</v>
      </c>
      <c r="F24" s="11">
        <v>8</v>
      </c>
      <c r="G24" s="13">
        <v>45384</v>
      </c>
      <c r="H24" s="6">
        <v>240</v>
      </c>
    </row>
    <row r="25" spans="1:8" ht="15.75" customHeight="1" thickBot="1">
      <c r="A25" s="11">
        <v>1024</v>
      </c>
      <c r="B25" s="12" t="s">
        <v>71</v>
      </c>
      <c r="C25" s="12" t="s">
        <v>36</v>
      </c>
      <c r="D25" s="12" t="s">
        <v>28</v>
      </c>
      <c r="E25" s="11">
        <v>11</v>
      </c>
      <c r="F25" s="11">
        <v>50</v>
      </c>
      <c r="G25" s="13">
        <v>45445</v>
      </c>
      <c r="H25" s="6">
        <v>550</v>
      </c>
    </row>
    <row r="26" spans="1:8" ht="15.75" customHeight="1" thickBot="1">
      <c r="A26" s="11">
        <v>1025</v>
      </c>
      <c r="B26" s="12" t="s">
        <v>72</v>
      </c>
      <c r="C26" s="12" t="s">
        <v>27</v>
      </c>
      <c r="D26" s="12" t="s">
        <v>31</v>
      </c>
      <c r="E26" s="11">
        <v>14</v>
      </c>
      <c r="F26" s="11">
        <v>10</v>
      </c>
      <c r="G26" s="13">
        <v>45475</v>
      </c>
      <c r="H26" s="6">
        <v>140</v>
      </c>
    </row>
    <row r="27" spans="1:8" ht="15.75" customHeight="1" thickBot="1">
      <c r="A27" s="11">
        <v>1026</v>
      </c>
      <c r="B27" s="12" t="s">
        <v>73</v>
      </c>
      <c r="C27" s="12" t="s">
        <v>30</v>
      </c>
      <c r="D27" s="12" t="s">
        <v>34</v>
      </c>
      <c r="E27" s="11">
        <v>16</v>
      </c>
      <c r="F27" s="11">
        <v>25</v>
      </c>
      <c r="G27" s="13">
        <v>45506</v>
      </c>
      <c r="H27" s="6">
        <v>400</v>
      </c>
    </row>
    <row r="28" spans="1:8" ht="15.75" customHeight="1" thickBot="1">
      <c r="A28" s="11">
        <v>1027</v>
      </c>
      <c r="B28" s="12" t="s">
        <v>74</v>
      </c>
      <c r="C28" s="12" t="s">
        <v>33</v>
      </c>
      <c r="D28" s="12" t="s">
        <v>38</v>
      </c>
      <c r="E28" s="11">
        <v>22</v>
      </c>
      <c r="F28" s="11">
        <v>5</v>
      </c>
      <c r="G28" s="13">
        <v>45537</v>
      </c>
      <c r="H28" s="6">
        <v>110</v>
      </c>
    </row>
    <row r="29" spans="1:8" ht="15.75" customHeight="1" thickBot="1">
      <c r="A29" s="11">
        <v>1028</v>
      </c>
      <c r="B29" s="12" t="s">
        <v>75</v>
      </c>
      <c r="C29" s="12" t="s">
        <v>36</v>
      </c>
      <c r="D29" s="12" t="s">
        <v>41</v>
      </c>
      <c r="E29" s="11">
        <v>27</v>
      </c>
      <c r="F29" s="11">
        <v>8</v>
      </c>
      <c r="G29" s="13">
        <v>45567</v>
      </c>
      <c r="H29" s="6">
        <v>216</v>
      </c>
    </row>
    <row r="30" spans="1:8" ht="15.75" customHeight="1" thickBot="1">
      <c r="A30" s="11">
        <v>1029</v>
      </c>
      <c r="B30" s="12" t="s">
        <v>76</v>
      </c>
      <c r="C30" s="12" t="s">
        <v>27</v>
      </c>
      <c r="D30" s="12" t="s">
        <v>28</v>
      </c>
      <c r="E30" s="11">
        <v>13</v>
      </c>
      <c r="F30" s="11">
        <v>50</v>
      </c>
      <c r="G30" s="13">
        <v>45628</v>
      </c>
      <c r="H30" s="6">
        <v>650</v>
      </c>
    </row>
    <row r="31" spans="1:8" ht="15.75" customHeight="1" thickBot="1">
      <c r="A31" s="11">
        <v>1030</v>
      </c>
      <c r="B31" s="12" t="s">
        <v>77</v>
      </c>
      <c r="C31" s="12" t="s">
        <v>30</v>
      </c>
      <c r="D31" s="12" t="s">
        <v>31</v>
      </c>
      <c r="E31" s="11">
        <v>32</v>
      </c>
      <c r="F31" s="11">
        <v>10</v>
      </c>
      <c r="G31" s="11" t="s">
        <v>78</v>
      </c>
      <c r="H31" s="6">
        <v>320</v>
      </c>
    </row>
    <row r="32" spans="1:8" ht="15.75" customHeight="1" thickBot="1">
      <c r="A32" s="11">
        <v>1031</v>
      </c>
      <c r="B32" s="12" t="s">
        <v>79</v>
      </c>
      <c r="C32" s="12" t="s">
        <v>33</v>
      </c>
      <c r="D32" s="12" t="s">
        <v>34</v>
      </c>
      <c r="E32" s="11">
        <v>10</v>
      </c>
      <c r="F32" s="11">
        <v>25</v>
      </c>
      <c r="G32" s="11" t="s">
        <v>80</v>
      </c>
      <c r="H32" s="6">
        <v>250</v>
      </c>
    </row>
    <row r="33" spans="1:8" ht="15.75" customHeight="1" thickBot="1">
      <c r="A33" s="11">
        <v>1032</v>
      </c>
      <c r="B33" s="12" t="s">
        <v>81</v>
      </c>
      <c r="C33" s="12" t="s">
        <v>36</v>
      </c>
      <c r="D33" s="12" t="s">
        <v>38</v>
      </c>
      <c r="E33" s="11">
        <v>18</v>
      </c>
      <c r="F33" s="11">
        <v>5</v>
      </c>
      <c r="G33" s="11" t="s">
        <v>82</v>
      </c>
      <c r="H33" s="6">
        <v>90</v>
      </c>
    </row>
    <row r="34" spans="1:8" ht="15.75" customHeight="1" thickBot="1">
      <c r="A34" s="11">
        <v>1033</v>
      </c>
      <c r="B34" s="12" t="s">
        <v>83</v>
      </c>
      <c r="C34" s="12" t="s">
        <v>27</v>
      </c>
      <c r="D34" s="12" t="s">
        <v>41</v>
      </c>
      <c r="E34" s="11">
        <v>22</v>
      </c>
      <c r="F34" s="11">
        <v>8</v>
      </c>
      <c r="G34" s="11" t="s">
        <v>84</v>
      </c>
      <c r="H34" s="6">
        <v>176</v>
      </c>
    </row>
    <row r="35" spans="1:8" ht="15.75" customHeight="1" thickBot="1">
      <c r="A35" s="11">
        <v>1034</v>
      </c>
      <c r="B35" s="12" t="s">
        <v>85</v>
      </c>
      <c r="C35" s="12" t="s">
        <v>30</v>
      </c>
      <c r="D35" s="12" t="s">
        <v>28</v>
      </c>
      <c r="E35" s="11">
        <v>17</v>
      </c>
      <c r="F35" s="11">
        <v>50</v>
      </c>
      <c r="G35" s="11" t="s">
        <v>86</v>
      </c>
      <c r="H35" s="6">
        <v>850</v>
      </c>
    </row>
    <row r="36" spans="1:8" ht="15.75" customHeight="1" thickBot="1">
      <c r="A36" s="11">
        <v>1035</v>
      </c>
      <c r="B36" s="12" t="s">
        <v>87</v>
      </c>
      <c r="C36" s="12" t="s">
        <v>33</v>
      </c>
      <c r="D36" s="12" t="s">
        <v>31</v>
      </c>
      <c r="E36" s="11">
        <v>19</v>
      </c>
      <c r="F36" s="11">
        <v>10</v>
      </c>
      <c r="G36" s="11" t="s">
        <v>88</v>
      </c>
      <c r="H36" s="6">
        <v>190</v>
      </c>
    </row>
    <row r="37" spans="1:8" ht="15.75" customHeight="1" thickBot="1">
      <c r="A37" s="11">
        <v>1036</v>
      </c>
      <c r="B37" s="12" t="s">
        <v>89</v>
      </c>
      <c r="C37" s="12" t="s">
        <v>36</v>
      </c>
      <c r="D37" s="12" t="s">
        <v>34</v>
      </c>
      <c r="E37" s="11">
        <v>15</v>
      </c>
      <c r="F37" s="11">
        <v>25</v>
      </c>
      <c r="G37" s="11" t="s">
        <v>90</v>
      </c>
      <c r="H37" s="6">
        <v>375</v>
      </c>
    </row>
    <row r="38" spans="1:8" ht="15.75" customHeight="1" thickBot="1">
      <c r="A38" s="11">
        <v>1037</v>
      </c>
      <c r="B38" s="12" t="s">
        <v>91</v>
      </c>
      <c r="C38" s="12" t="s">
        <v>27</v>
      </c>
      <c r="D38" s="12" t="s">
        <v>38</v>
      </c>
      <c r="E38" s="11">
        <v>28</v>
      </c>
      <c r="F38" s="11">
        <v>5</v>
      </c>
      <c r="G38" s="11" t="s">
        <v>92</v>
      </c>
      <c r="H38" s="6">
        <v>140</v>
      </c>
    </row>
    <row r="39" spans="1:8" ht="15.75" customHeight="1" thickBot="1">
      <c r="A39" s="11">
        <v>1038</v>
      </c>
      <c r="B39" s="12" t="s">
        <v>93</v>
      </c>
      <c r="C39" s="12" t="s">
        <v>30</v>
      </c>
      <c r="D39" s="12" t="s">
        <v>41</v>
      </c>
      <c r="E39" s="11">
        <v>24</v>
      </c>
      <c r="F39" s="11">
        <v>8</v>
      </c>
      <c r="G39" s="11" t="s">
        <v>94</v>
      </c>
      <c r="H39" s="6">
        <v>192</v>
      </c>
    </row>
    <row r="40" spans="1:8" ht="15.75" customHeight="1" thickBot="1">
      <c r="A40" s="11">
        <v>1039</v>
      </c>
      <c r="B40" s="12" t="s">
        <v>95</v>
      </c>
      <c r="C40" s="12" t="s">
        <v>33</v>
      </c>
      <c r="D40" s="12" t="s">
        <v>28</v>
      </c>
      <c r="E40" s="11">
        <v>16</v>
      </c>
      <c r="F40" s="11">
        <v>50</v>
      </c>
      <c r="G40" s="11" t="s">
        <v>96</v>
      </c>
      <c r="H40" s="6">
        <v>800</v>
      </c>
    </row>
    <row r="41" spans="1:8" ht="15.75" customHeight="1" thickBot="1">
      <c r="A41" s="11">
        <v>1040</v>
      </c>
      <c r="B41" s="12" t="s">
        <v>97</v>
      </c>
      <c r="C41" s="12" t="s">
        <v>36</v>
      </c>
      <c r="D41" s="12" t="s">
        <v>31</v>
      </c>
      <c r="E41" s="11">
        <v>27</v>
      </c>
      <c r="F41" s="11">
        <v>10</v>
      </c>
      <c r="G41" s="11" t="s">
        <v>98</v>
      </c>
      <c r="H41" s="6">
        <v>270</v>
      </c>
    </row>
    <row r="42" spans="1:8" ht="15.75" customHeight="1" thickBot="1">
      <c r="A42" s="11">
        <v>1041</v>
      </c>
      <c r="B42" s="12" t="s">
        <v>99</v>
      </c>
      <c r="C42" s="12" t="s">
        <v>27</v>
      </c>
      <c r="D42" s="12" t="s">
        <v>34</v>
      </c>
      <c r="E42" s="11">
        <v>21</v>
      </c>
      <c r="F42" s="11">
        <v>25</v>
      </c>
      <c r="G42" s="11" t="s">
        <v>100</v>
      </c>
      <c r="H42" s="6">
        <v>525</v>
      </c>
    </row>
    <row r="43" spans="1:8" ht="15.75" customHeight="1" thickBot="1">
      <c r="A43" s="11">
        <v>1042</v>
      </c>
      <c r="B43" s="12" t="s">
        <v>101</v>
      </c>
      <c r="C43" s="12" t="s">
        <v>30</v>
      </c>
      <c r="D43" s="12" t="s">
        <v>38</v>
      </c>
      <c r="E43" s="11">
        <v>30</v>
      </c>
      <c r="F43" s="11">
        <v>5</v>
      </c>
      <c r="G43" s="11" t="s">
        <v>102</v>
      </c>
      <c r="H43" s="6">
        <v>150</v>
      </c>
    </row>
    <row r="44" spans="1:8" ht="15.75" customHeight="1" thickBot="1">
      <c r="A44" s="11">
        <v>1043</v>
      </c>
      <c r="B44" s="12" t="s">
        <v>103</v>
      </c>
      <c r="C44" s="12" t="s">
        <v>33</v>
      </c>
      <c r="D44" s="12" t="s">
        <v>41</v>
      </c>
      <c r="E44" s="11">
        <v>26</v>
      </c>
      <c r="F44" s="11">
        <v>8</v>
      </c>
      <c r="G44" s="13">
        <v>45294</v>
      </c>
      <c r="H44" s="6">
        <v>208</v>
      </c>
    </row>
    <row r="45" spans="1:8" ht="15.75" customHeight="1" thickBot="1">
      <c r="A45" s="11">
        <v>1044</v>
      </c>
      <c r="B45" s="12" t="s">
        <v>104</v>
      </c>
      <c r="C45" s="12" t="s">
        <v>36</v>
      </c>
      <c r="D45" s="12" t="s">
        <v>28</v>
      </c>
      <c r="E45" s="11">
        <v>14</v>
      </c>
      <c r="F45" s="11">
        <v>50</v>
      </c>
      <c r="G45" s="13">
        <v>45325</v>
      </c>
      <c r="H45" s="6">
        <v>700</v>
      </c>
    </row>
    <row r="46" spans="1:8" ht="15.75" customHeight="1" thickBot="1">
      <c r="A46" s="11">
        <v>1045</v>
      </c>
      <c r="B46" s="12" t="s">
        <v>105</v>
      </c>
      <c r="C46" s="12" t="s">
        <v>27</v>
      </c>
      <c r="D46" s="12" t="s">
        <v>31</v>
      </c>
      <c r="E46" s="11">
        <v>20</v>
      </c>
      <c r="F46" s="11">
        <v>10</v>
      </c>
      <c r="G46" s="13">
        <v>45354</v>
      </c>
      <c r="H46" s="6">
        <v>200</v>
      </c>
    </row>
    <row r="47" spans="1:8" ht="15.75" customHeight="1" thickBot="1">
      <c r="A47" s="11">
        <v>1046</v>
      </c>
      <c r="B47" s="12" t="s">
        <v>106</v>
      </c>
      <c r="C47" s="12" t="s">
        <v>30</v>
      </c>
      <c r="D47" s="12" t="s">
        <v>34</v>
      </c>
      <c r="E47" s="11">
        <v>17</v>
      </c>
      <c r="F47" s="11">
        <v>25</v>
      </c>
      <c r="G47" s="13">
        <v>45385</v>
      </c>
      <c r="H47" s="6">
        <v>425</v>
      </c>
    </row>
    <row r="48" spans="1:8" ht="15.75" customHeight="1" thickBot="1">
      <c r="A48" s="11">
        <v>1047</v>
      </c>
      <c r="B48" s="12" t="s">
        <v>107</v>
      </c>
      <c r="C48" s="12" t="s">
        <v>33</v>
      </c>
      <c r="D48" s="12" t="s">
        <v>38</v>
      </c>
      <c r="E48" s="11">
        <v>19</v>
      </c>
      <c r="F48" s="11">
        <v>5</v>
      </c>
      <c r="G48" s="13">
        <v>45415</v>
      </c>
      <c r="H48" s="6">
        <v>95</v>
      </c>
    </row>
    <row r="49" spans="1:8" ht="15.75" customHeight="1" thickBot="1">
      <c r="A49" s="11">
        <v>1048</v>
      </c>
      <c r="B49" s="12" t="s">
        <v>108</v>
      </c>
      <c r="C49" s="12" t="s">
        <v>36</v>
      </c>
      <c r="D49" s="12" t="s">
        <v>41</v>
      </c>
      <c r="E49" s="11">
        <v>32</v>
      </c>
      <c r="F49" s="11">
        <v>8</v>
      </c>
      <c r="G49" s="13">
        <v>45446</v>
      </c>
      <c r="H49" s="6">
        <v>256</v>
      </c>
    </row>
    <row r="50" spans="1:8" ht="15.75" customHeight="1" thickBot="1">
      <c r="A50" s="11">
        <v>1049</v>
      </c>
      <c r="B50" s="12" t="s">
        <v>109</v>
      </c>
      <c r="C50" s="12" t="s">
        <v>27</v>
      </c>
      <c r="D50" s="12" t="s">
        <v>28</v>
      </c>
      <c r="E50" s="11">
        <v>12</v>
      </c>
      <c r="F50" s="11">
        <v>50</v>
      </c>
      <c r="G50" s="13">
        <v>45476</v>
      </c>
      <c r="H50" s="6">
        <v>600</v>
      </c>
    </row>
    <row r="51" spans="1:8" ht="15.75" customHeight="1" thickBot="1">
      <c r="A51" s="11">
        <v>1050</v>
      </c>
      <c r="B51" s="12" t="s">
        <v>110</v>
      </c>
      <c r="C51" s="12" t="s">
        <v>30</v>
      </c>
      <c r="D51" s="12" t="s">
        <v>31</v>
      </c>
      <c r="E51" s="11">
        <v>25</v>
      </c>
      <c r="F51" s="11">
        <v>10</v>
      </c>
      <c r="G51" s="13">
        <v>45507</v>
      </c>
      <c r="H51" s="6">
        <v>250</v>
      </c>
    </row>
  </sheetData>
  <mergeCells count="1">
    <mergeCell ref="I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2025-11-18T08:40:26Z</dcterms:created>
  <dcterms:modified xsi:type="dcterms:W3CDTF">2025-11-18T10:20:06Z</dcterms:modified>
</cp:coreProperties>
</file>