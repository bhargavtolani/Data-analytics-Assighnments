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 1" sheetId="1" r:id="rId4"/>
    <sheet state="visible" name="Ans 2" sheetId="2" r:id="rId5"/>
    <sheet state="visible" name="Ans 3" sheetId="3" r:id="rId6"/>
    <sheet state="visible" name="Ans 4" sheetId="4" r:id="rId7"/>
    <sheet state="visible" name="Ans 5" sheetId="5" r:id="rId8"/>
    <sheet state="visible" name="Ans 6" sheetId="6" r:id="rId9"/>
    <sheet state="visible" name="Ans 7" sheetId="7" r:id="rId10"/>
    <sheet state="visible" name="Ans 8" sheetId="8" r:id="rId11"/>
    <sheet state="visible" name="Ans 9 " sheetId="9" r:id="rId12"/>
    <sheet state="visible" name="Ans 10" sheetId="10" r:id="rId13"/>
  </sheets>
  <definedNames/>
  <calcPr/>
</workbook>
</file>

<file path=xl/sharedStrings.xml><?xml version="1.0" encoding="utf-8"?>
<sst xmlns="http://schemas.openxmlformats.org/spreadsheetml/2006/main" count="180" uniqueCount="169">
  <si>
    <t>1. Define Covariance and explain how it differs from Correlation in terms of scale and interpretation.</t>
  </si>
  <si>
    <t>Ans :-</t>
  </si>
  <si>
    <t>Covariance is a statistical measure that indicates the direction of the linear relationship between two variables.</t>
  </si>
  <si>
    <t>Definition of Covariance :-</t>
  </si>
  <si>
    <t>For two random variables Xand Y, covariance is defined as:</t>
  </si>
  <si>
    <t>Positive covariance: variables tend to increase or decrease together</t>
  </si>
  <si>
    <t>Negative covariance: one variable increases while the other decreases</t>
  </si>
  <si>
    <t>Zero covariance: no linear relationship</t>
  </si>
  <si>
    <t>Diffrence Between Corelation And Covariance</t>
  </si>
  <si>
    <t>Aspect</t>
  </si>
  <si>
    <t>Covariance</t>
  </si>
  <si>
    <t>Correlation</t>
  </si>
  <si>
    <t>Scale</t>
  </si>
  <si>
    <t>Depends on the units of the variables</t>
  </si>
  <si>
    <t>Unit-free (standardized)</t>
  </si>
  <si>
    <t>Range</t>
  </si>
  <si>
    <t>No fixed range (can be very large or very small)</t>
  </si>
  <si>
    <t>Always between −1 and +1</t>
  </si>
  <si>
    <t>Interpretation</t>
  </si>
  <si>
    <t>Indicates direction only</t>
  </si>
  <si>
    <t>Indicates both direction and strength</t>
  </si>
  <si>
    <t>Comparability</t>
  </si>
  <si>
    <t>Difficult to compare across datasets</t>
  </si>
  <si>
    <t>Easy to compare across datasets</t>
  </si>
  <si>
    <t>Key Interpretation Difference :-</t>
  </si>
  <si>
    <t>Covariance tells you whether two variables move together, but not how strongly.</t>
  </si>
  <si>
    <t>Correlation standardizes covariance, making it easier to interpret the strength and direction of the relationship.</t>
  </si>
  <si>
    <t>2.What does a positive, negative, and zero covariance indicate about the relationship between two variables?</t>
  </si>
  <si>
    <t>Positive covariance :-</t>
  </si>
  <si>
    <t>Indicates that the two variables tend to move in the same direction. When one variable increases, the other generally increases; when one decreases, the other generally decreases.</t>
  </si>
  <si>
    <t>Negative covariance :-</t>
  </si>
  <si>
    <t>Indicates that the two variables tend to move in opposite directions. When one variable increases, the other generally decreases, and vice versa.</t>
  </si>
  <si>
    <t>Zero covariance :-</t>
  </si>
  <si>
    <t>Indicates no linear relationship between the two variables. Changes in one variable do not show a consistent linear pattern with changes in the other (though a non-linear relationship may still exist).</t>
  </si>
  <si>
    <t>3.Discuss the limitations of covariance as a measure of relationship between two variables. Why is correlation
preferred in many cases?</t>
  </si>
  <si>
    <t>Limitations of Covariance :-</t>
  </si>
  <si>
    <t>1.Depends on the scale of measurement :-</t>
  </si>
  <si>
    <t>Covariance is affected by the units of the variables. Changing the scale (e.g., meters to centimeters) changes the value of covariance, making it hard to interpret.</t>
  </si>
  <si>
    <t>2.No fixed range :-</t>
  </si>
  <si>
    <t>Covariance has no minimum or maximum value. Because it can take very large or very small values, it is difficult to judge the strength of the relationship.</t>
  </si>
  <si>
    <t>3.Difficult to compare :</t>
  </si>
  <si>
    <t>Since covariance is scale-dependent, covariances from different datasets or variable pairs cannot be meaningfully compared.</t>
  </si>
  <si>
    <t>4.Only indicates direction, not strength :</t>
  </si>
  <si>
    <t>Covariance shows whether variables move together (positive or negative), but it does not clearly indicate how strong the relationship is.</t>
  </si>
  <si>
    <t>5.Sensitive to outliers :-</t>
  </si>
  <si>
    <t>Extreme values can heavily influence covariance, potentially giving a misleading impression of the relationship.</t>
  </si>
  <si>
    <t>Why Correlation Is Preferred :-</t>
  </si>
  <si>
    <t>Standardized measure :-</t>
  </si>
  <si>
    <t>Correlation removes the effect of units by dividing covariance by the standard deviations of the variables.</t>
  </si>
  <si>
    <t>Fixed range (−1 to +1) :-</t>
  </si>
  <si>
    <t>This makes interpretation straightforward:</t>
  </si>
  <si>
    <t>1: perfect positive relationship</t>
  </si>
  <si>
    <t>−1: perfect negative relationship</t>
  </si>
  <si>
    <t>0: no linear relationship</t>
  </si>
  <si>
    <t>Easy comparison :-</t>
  </si>
  <si>
    <t>Correlation values can be easily compared across different studies, variables, or datasets.</t>
  </si>
  <si>
    <t>Clear interpretation of strength and direction :-</t>
  </si>
  <si>
    <t>Correlation clearly communicates both how strong and in what direction the relationship exists.</t>
  </si>
  <si>
    <t>4. Explain the difference between Pearson’s correlation coefficient and Spearman’s rank correlation
coefficient. When would you prefer to use Spearman’s correlation?</t>
  </si>
  <si>
    <t>1. Pearson’s Correlation Coefficient (r) :-</t>
  </si>
  <si>
    <t>Measures the strength and direction of a linear relationship between two variables.</t>
  </si>
  <si>
    <t>Uses the actual numerical values of the data.</t>
  </si>
  <si>
    <t>Assumes:</t>
  </si>
  <si>
    <t>A linear relationship</t>
  </si>
  <si>
    <t>Variables are continuous</t>
  </si>
  <si>
    <t>Data are approximately normally distributed</t>
  </si>
  <si>
    <t>Relationship is not heavily affected by outliers</t>
  </si>
  <si>
    <t>2. Spearman’s Rank Correlation Coefficient (ρ or rs) :-</t>
  </si>
  <si>
    <t>Measures the strength and direction of a monotonic relationship (variables move consistently in one direction, but not necessarily linearly).</t>
  </si>
  <si>
    <t>Based on the ranks of the data rather than the raw values.</t>
  </si>
  <si>
    <t>A non-parametric measure (does not assume normality).</t>
  </si>
  <si>
    <t>Less sensitive to outliers.</t>
  </si>
  <si>
    <t>Can be used with ordinal data as well as continuous data.</t>
  </si>
  <si>
    <t>When to Prefer Spearman’s Correlation</t>
  </si>
  <si>
    <t>You should use Spearman’s correlation when:</t>
  </si>
  <si>
    <t>The relationship between variables is monotonic but not linear.</t>
  </si>
  <si>
    <t>The data are not normally distributed.</t>
  </si>
  <si>
    <t>The dataset contains significant outliers.</t>
  </si>
  <si>
    <t>The variables are ordinal (ranked) rather than measured on a continuous scale.</t>
  </si>
  <si>
    <t>Sample size is small and normality assumptions are questionable.</t>
  </si>
  <si>
    <t>5.If the correlation coefficient between two variables X and Y is 0.85, interpret this value in context. Can you
infer causation from this value? Why or why not?</t>
  </si>
  <si>
    <t>Ans ;-</t>
  </si>
  <si>
    <t>Interpretation of a Correlation Coefficient of 0.85 :-</t>
  </si>
  <si>
    <t>A correlation coefficient of 0.85 indicates a strong positive linear relationship between variables X and Y.</t>
  </si>
  <si>
    <t>As X increases, Y tends to increase.</t>
  </si>
  <si>
    <t>The value is close to +1, which means the relationship is strong, though not perfectly linear.</t>
  </si>
  <si>
    <t>Most of the variation in one variable is associated with variation in the other (approximately 0.852≈0.720.85^2 \approx 0.720.852≈0.72, or 72% shared variance in a linear sense).</t>
  </si>
  <si>
    <t>Can You Infer Causation from This Value? :</t>
  </si>
  <si>
    <t>No, causation cannot be inferred from correlation alone.</t>
  </si>
  <si>
    <t>Reasons :-</t>
  </si>
  <si>
    <t>1.Direction of causality is unclear</t>
  </si>
  <si>
    <t>Even if X and Y are correlated, we cannot tell whether X causes Y, Y causes X, or both.</t>
  </si>
  <si>
    <t>2.Third-variable (confounding) effect</t>
  </si>
  <si>
    <t>A hidden variable may influence both X and Y, creating a strong correlation without direct causation.</t>
  </si>
  <si>
    <t>3.Correlation measures association, not cause-and-effect</t>
  </si>
  <si>
    <t>Correlation only describes how variables move together, not why they do so.</t>
  </si>
  <si>
    <t>6.Using the dataset below, calculate the covariance between X and Y</t>
  </si>
  <si>
    <t>X</t>
  </si>
  <si>
    <t>Y</t>
  </si>
  <si>
    <t>Compute the means :-</t>
  </si>
  <si>
    <t xml:space="preserve">Xˉ = </t>
  </si>
  <si>
    <t>2+4+6+8 / 4 = 5</t>
  </si>
  <si>
    <t xml:space="preserve">Yˉ = </t>
  </si>
  <si>
    <t>3+7+5+10 /4 = 6.25</t>
  </si>
  <si>
    <t>Compute deviations and their products :-</t>
  </si>
  <si>
    <t>(X-Xˉ)</t>
  </si>
  <si>
    <t>(Y-Yˉ )</t>
  </si>
  <si>
    <t>Product</t>
  </si>
  <si>
    <t>−3</t>
  </si>
  <si>
    <t>−3.25</t>
  </si>
  <si>
    <t>−1</t>
  </si>
  <si>
    <t>−0.75</t>
  </si>
  <si>
    <t>−1.25</t>
  </si>
  <si>
    <t>Calculate covariance :-</t>
  </si>
  <si>
    <t>Sample covariance (most commonly used):</t>
  </si>
  <si>
    <t>Cov(X,Y) = 19 / 4-1 = 19 / 3 = 6.33</t>
  </si>
  <si>
    <t>Population covariance :-</t>
  </si>
  <si>
    <t>Cov (X,Y) = 19/4 = 4.75</t>
  </si>
  <si>
    <t>7.Compute the Pearson correlation coefficient between variables A and B:</t>
  </si>
  <si>
    <t>A</t>
  </si>
  <si>
    <t>B</t>
  </si>
  <si>
    <t>To compute the Pearson correlation coefficient (r):</t>
  </si>
  <si>
    <t>Means :-</t>
  </si>
  <si>
    <t>Mean of A = 30</t>
  </si>
  <si>
    <t>Mean of B = 18.4</t>
  </si>
  <si>
    <t xml:space="preserve"> Deviations and sums :-</t>
  </si>
  <si>
    <t>∑(A−Aˉ)(B−Bˉ)=500</t>
  </si>
  <si>
    <t>∑(A−Aˉ)2=1000</t>
  </si>
  <si>
    <t>∑(B−Bˉ)2=251.2</t>
  </si>
  <si>
    <t>Pearson correlation :-</t>
  </si>
  <si>
    <t>r= 500 / 501. 2 = 0.998</t>
  </si>
  <si>
    <t>8. The following table shows heights (in cm) and weights (in kg) of 5 students. 
Find the correlation coefficient between Height and Weight.</t>
  </si>
  <si>
    <t>Height</t>
  </si>
  <si>
    <t>Weight</t>
  </si>
  <si>
    <t>Mean Height = 165</t>
  </si>
  <si>
    <t>mean weight =59</t>
  </si>
  <si>
    <t>Compute sums :-</t>
  </si>
  <si>
    <t>∑(H−Hˉ)(W−Wˉ)=310</t>
  </si>
  <si>
    <t>∑(H−Hˉ)2=500</t>
  </si>
  <si>
    <t>∑(W−Wˉ)2=196</t>
  </si>
  <si>
    <t>Pearson correlation coefficient</t>
  </si>
  <si>
    <t>r = 310 / 313.05 = 0.99</t>
  </si>
  <si>
    <t>9.Given the dataset below, determine whether there is a positive or negative correlation between X and Y. 
(No need for exact calculation, just reasoning.)</t>
  </si>
  <si>
    <t>x</t>
  </si>
  <si>
    <t>y</t>
  </si>
  <si>
    <t>Look at how Y changes as X increases:</t>
  </si>
  <si>
    <t>As X goes from 1 → 5</t>
  </si>
  <si>
    <t>Y goes from 15 → 3</t>
  </si>
  <si>
    <t>So, when X increases, Y consistently decreases.</t>
  </si>
  <si>
    <t>10.Two investment portfolios have the following returns (%) over 5 years. Compute the covariance and
correlation coefficient, and interpret whether the portfolios move together.</t>
  </si>
  <si>
    <t>Year</t>
  </si>
  <si>
    <t>portfolio A</t>
  </si>
  <si>
    <t>Portfolio B</t>
  </si>
  <si>
    <t xml:space="preserve">Aˉ = 10 </t>
  </si>
  <si>
    <t>Bˉ = 8.8</t>
  </si>
  <si>
    <t>Deviations and products :</t>
  </si>
  <si>
    <t>A−Ā</t>
  </si>
  <si>
    <t>B−(Bˉ)</t>
  </si>
  <si>
    <t>−2</t>
  </si>
  <si>
    <t>−2.8</t>
  </si>
  <si>
    <t>−0.8</t>
  </si>
  <si>
    <t>Sum of products = 12</t>
  </si>
  <si>
    <t>3. Covariance</t>
  </si>
  <si>
    <t>Cov (A,B) = 12 / 4 = 3</t>
  </si>
  <si>
    <t>4. Standard deviations</t>
  </si>
  <si>
    <t>For Portfolio A:</t>
  </si>
  <si>
    <t>For Portfolio B:</t>
  </si>
  <si>
    <t>5. Correlation coefficient :-</t>
  </si>
  <si>
    <t>r = Cov(A,B) / a b =  3 / 1.58 *  1.79 = 0.95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</si>
</sst>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31.13"/>
  </cols>
  <sheetData>
    <row r="2">
      <c r="B2" s="1" t="s">
        <v>0</v>
      </c>
    </row>
    <row r="4">
      <c r="B4" s="1" t="s">
        <v>1</v>
      </c>
      <c r="C4" s="2" t="s">
        <v>2</v>
      </c>
    </row>
    <row r="6">
      <c r="B6" s="1" t="s">
        <v>3</v>
      </c>
    </row>
    <row r="7">
      <c r="B7" s="2" t="s">
        <v>4</v>
      </c>
    </row>
    <row r="9">
      <c r="B9" s="2" t="s">
        <v>5</v>
      </c>
    </row>
    <row r="10">
      <c r="B10" s="2" t="s">
        <v>6</v>
      </c>
    </row>
    <row r="11">
      <c r="B11" s="2" t="s">
        <v>7</v>
      </c>
    </row>
    <row r="13">
      <c r="B13" s="1" t="s">
        <v>8</v>
      </c>
    </row>
    <row r="14">
      <c r="B14" s="3" t="s">
        <v>9</v>
      </c>
      <c r="C14" s="3" t="s">
        <v>10</v>
      </c>
      <c r="D14" s="3" t="s">
        <v>11</v>
      </c>
    </row>
    <row r="15">
      <c r="B15" s="2" t="s">
        <v>12</v>
      </c>
      <c r="C15" s="2" t="s">
        <v>13</v>
      </c>
      <c r="D15" s="2" t="s">
        <v>14</v>
      </c>
    </row>
    <row r="16">
      <c r="B16" s="2" t="s">
        <v>15</v>
      </c>
      <c r="C16" s="2" t="s">
        <v>16</v>
      </c>
      <c r="D16" s="2" t="s">
        <v>17</v>
      </c>
    </row>
    <row r="17">
      <c r="B17" s="2" t="s">
        <v>18</v>
      </c>
      <c r="C17" s="2" t="s">
        <v>19</v>
      </c>
      <c r="D17" s="2" t="s">
        <v>20</v>
      </c>
    </row>
    <row r="18">
      <c r="B18" s="2" t="s">
        <v>21</v>
      </c>
      <c r="C18" s="2" t="s">
        <v>22</v>
      </c>
      <c r="D18" s="2" t="s">
        <v>23</v>
      </c>
    </row>
    <row r="20">
      <c r="B20" s="4" t="s">
        <v>24</v>
      </c>
    </row>
    <row r="21">
      <c r="B21" s="5"/>
      <c r="C21" s="2" t="s">
        <v>25</v>
      </c>
    </row>
    <row r="22">
      <c r="C22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/>
    </row>
    <row r="2">
      <c r="B2" s="1" t="s">
        <v>27</v>
      </c>
    </row>
    <row r="3">
      <c r="B3" s="6"/>
    </row>
    <row r="4">
      <c r="B4" s="1" t="s">
        <v>1</v>
      </c>
    </row>
    <row r="5">
      <c r="B5" s="6"/>
    </row>
    <row r="6">
      <c r="B6" s="1" t="s">
        <v>28</v>
      </c>
    </row>
    <row r="7">
      <c r="B7" s="6"/>
      <c r="C7" s="2" t="s">
        <v>29</v>
      </c>
    </row>
    <row r="8">
      <c r="B8" s="6"/>
    </row>
    <row r="9">
      <c r="B9" s="1" t="s">
        <v>30</v>
      </c>
    </row>
    <row r="10">
      <c r="B10" s="6"/>
      <c r="C10" s="2" t="s">
        <v>31</v>
      </c>
    </row>
    <row r="11">
      <c r="B11" s="6"/>
    </row>
    <row r="12">
      <c r="B12" s="1" t="s">
        <v>32</v>
      </c>
    </row>
    <row r="13">
      <c r="B13" s="6"/>
      <c r="C13" s="2" t="s">
        <v>33</v>
      </c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34</v>
      </c>
    </row>
    <row r="4">
      <c r="B4" s="1" t="s">
        <v>1</v>
      </c>
    </row>
    <row r="6">
      <c r="B6" s="1" t="s">
        <v>35</v>
      </c>
    </row>
    <row r="8">
      <c r="B8" s="1" t="s">
        <v>36</v>
      </c>
    </row>
    <row r="9">
      <c r="B9" s="2" t="s">
        <v>37</v>
      </c>
    </row>
    <row r="11">
      <c r="B11" s="1" t="s">
        <v>38</v>
      </c>
    </row>
    <row r="12">
      <c r="B12" s="2" t="s">
        <v>39</v>
      </c>
    </row>
    <row r="14">
      <c r="B14" s="1" t="s">
        <v>40</v>
      </c>
    </row>
    <row r="15">
      <c r="B15" s="2" t="s">
        <v>41</v>
      </c>
    </row>
    <row r="17">
      <c r="B17" s="1" t="s">
        <v>42</v>
      </c>
    </row>
    <row r="18">
      <c r="B18" s="2" t="s">
        <v>43</v>
      </c>
    </row>
    <row r="20">
      <c r="B20" s="1" t="s">
        <v>44</v>
      </c>
    </row>
    <row r="21">
      <c r="B21" s="2" t="s">
        <v>45</v>
      </c>
    </row>
    <row r="23">
      <c r="B23" s="1" t="s">
        <v>46</v>
      </c>
    </row>
    <row r="25">
      <c r="B25" s="1" t="s">
        <v>47</v>
      </c>
    </row>
    <row r="26">
      <c r="C26" s="2" t="s">
        <v>48</v>
      </c>
    </row>
    <row r="28">
      <c r="B28" s="1" t="s">
        <v>49</v>
      </c>
    </row>
    <row r="29">
      <c r="C29" s="2" t="s">
        <v>50</v>
      </c>
    </row>
    <row r="30">
      <c r="C30" s="2" t="s">
        <v>51</v>
      </c>
    </row>
    <row r="31">
      <c r="C31" s="2" t="s">
        <v>52</v>
      </c>
    </row>
    <row r="32">
      <c r="C32" s="2" t="s">
        <v>53</v>
      </c>
    </row>
    <row r="34">
      <c r="B34" s="1" t="s">
        <v>54</v>
      </c>
    </row>
    <row r="35">
      <c r="C35" s="2" t="s">
        <v>55</v>
      </c>
    </row>
    <row r="37">
      <c r="B37" s="1" t="s">
        <v>56</v>
      </c>
    </row>
    <row r="38">
      <c r="C38" s="2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58</v>
      </c>
    </row>
    <row r="4">
      <c r="B4" s="1" t="s">
        <v>1</v>
      </c>
    </row>
    <row r="6">
      <c r="B6" s="1" t="s">
        <v>59</v>
      </c>
    </row>
    <row r="7">
      <c r="B7" s="6"/>
      <c r="C7" s="2" t="s">
        <v>60</v>
      </c>
    </row>
    <row r="8">
      <c r="C8" s="2" t="s">
        <v>61</v>
      </c>
    </row>
    <row r="9">
      <c r="B9" s="6"/>
    </row>
    <row r="10">
      <c r="B10" s="1" t="s">
        <v>62</v>
      </c>
    </row>
    <row r="11">
      <c r="B11" s="6"/>
      <c r="C11" s="2" t="s">
        <v>63</v>
      </c>
    </row>
    <row r="12">
      <c r="C12" s="2" t="s">
        <v>64</v>
      </c>
    </row>
    <row r="13">
      <c r="B13" s="6"/>
      <c r="C13" s="2" t="s">
        <v>65</v>
      </c>
    </row>
    <row r="14">
      <c r="C14" s="2" t="s">
        <v>66</v>
      </c>
    </row>
    <row r="15">
      <c r="B15" s="6"/>
    </row>
    <row r="16">
      <c r="B16" s="1" t="s">
        <v>67</v>
      </c>
    </row>
    <row r="17">
      <c r="B17" s="6"/>
      <c r="C17" s="2" t="s">
        <v>68</v>
      </c>
    </row>
    <row r="18">
      <c r="C18" s="2" t="s">
        <v>69</v>
      </c>
    </row>
    <row r="19">
      <c r="B19" s="6"/>
      <c r="C19" s="2" t="s">
        <v>70</v>
      </c>
    </row>
    <row r="20">
      <c r="C20" s="2" t="s">
        <v>71</v>
      </c>
    </row>
    <row r="21">
      <c r="B21" s="6"/>
      <c r="C21" s="2" t="s">
        <v>72</v>
      </c>
    </row>
    <row r="23">
      <c r="B23" s="6"/>
    </row>
    <row r="24">
      <c r="B24" s="4" t="s">
        <v>73</v>
      </c>
    </row>
    <row r="25">
      <c r="B25" s="5"/>
      <c r="C25" s="7" t="s">
        <v>74</v>
      </c>
    </row>
    <row r="26">
      <c r="C26" s="7" t="s">
        <v>75</v>
      </c>
    </row>
    <row r="27">
      <c r="B27" s="5"/>
      <c r="C27" s="7" t="s">
        <v>76</v>
      </c>
    </row>
    <row r="28">
      <c r="C28" s="7" t="s">
        <v>77</v>
      </c>
    </row>
    <row r="29">
      <c r="B29" s="5"/>
      <c r="C29" s="7" t="s">
        <v>78</v>
      </c>
    </row>
    <row r="30">
      <c r="C30" s="7" t="s">
        <v>79</v>
      </c>
    </row>
    <row r="31">
      <c r="B31" s="5"/>
    </row>
    <row r="33">
      <c r="B33" s="5"/>
    </row>
    <row r="35">
      <c r="B3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80</v>
      </c>
    </row>
    <row r="4">
      <c r="B4" s="1" t="s">
        <v>81</v>
      </c>
    </row>
    <row r="6">
      <c r="B6" s="1" t="s">
        <v>82</v>
      </c>
    </row>
    <row r="7">
      <c r="B7" s="2" t="s">
        <v>83</v>
      </c>
    </row>
    <row r="8">
      <c r="B8" s="2" t="s">
        <v>84</v>
      </c>
    </row>
    <row r="9">
      <c r="B9" s="2" t="s">
        <v>85</v>
      </c>
    </row>
    <row r="10">
      <c r="B10" s="2" t="s">
        <v>86</v>
      </c>
    </row>
    <row r="12">
      <c r="B12" s="1" t="s">
        <v>87</v>
      </c>
    </row>
    <row r="13">
      <c r="B13" s="2" t="s">
        <v>88</v>
      </c>
    </row>
    <row r="15">
      <c r="B15" s="2" t="s">
        <v>89</v>
      </c>
    </row>
    <row r="17">
      <c r="B17" s="1" t="s">
        <v>90</v>
      </c>
    </row>
    <row r="18">
      <c r="B18" s="2" t="s">
        <v>91</v>
      </c>
    </row>
    <row r="20">
      <c r="B20" s="1" t="s">
        <v>92</v>
      </c>
    </row>
    <row r="21">
      <c r="B21" s="2" t="s">
        <v>93</v>
      </c>
    </row>
    <row r="23">
      <c r="B23" s="1" t="s">
        <v>94</v>
      </c>
    </row>
    <row r="24">
      <c r="B24" s="2" t="s">
        <v>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96</v>
      </c>
    </row>
    <row r="4">
      <c r="B4" s="2" t="s">
        <v>97</v>
      </c>
      <c r="C4" s="2">
        <v>2.0</v>
      </c>
      <c r="D4" s="2">
        <v>4.0</v>
      </c>
      <c r="E4" s="2">
        <v>6.0</v>
      </c>
      <c r="F4" s="2">
        <v>8.0</v>
      </c>
    </row>
    <row r="5">
      <c r="B5" s="2" t="s">
        <v>98</v>
      </c>
      <c r="C5" s="2">
        <v>3.0</v>
      </c>
      <c r="D5" s="2">
        <v>7.0</v>
      </c>
      <c r="E5" s="2">
        <v>5.0</v>
      </c>
      <c r="F5" s="2">
        <v>10.0</v>
      </c>
    </row>
    <row r="8">
      <c r="B8" s="4" t="s">
        <v>99</v>
      </c>
    </row>
    <row r="9">
      <c r="B9" s="8"/>
    </row>
    <row r="10">
      <c r="B10" s="2" t="s">
        <v>100</v>
      </c>
      <c r="C10" s="2" t="s">
        <v>101</v>
      </c>
    </row>
    <row r="11">
      <c r="B11" s="2" t="s">
        <v>102</v>
      </c>
      <c r="C11" s="2" t="s">
        <v>103</v>
      </c>
    </row>
    <row r="13">
      <c r="B13" s="1" t="s">
        <v>104</v>
      </c>
    </row>
    <row r="14">
      <c r="B14" s="3" t="s">
        <v>97</v>
      </c>
      <c r="C14" s="3" t="s">
        <v>98</v>
      </c>
      <c r="D14" s="3" t="s">
        <v>105</v>
      </c>
      <c r="E14" s="3" t="s">
        <v>106</v>
      </c>
      <c r="F14" s="3" t="s">
        <v>107</v>
      </c>
    </row>
    <row r="15">
      <c r="B15" s="9">
        <v>2.0</v>
      </c>
      <c r="C15" s="9">
        <v>3.0</v>
      </c>
      <c r="D15" s="9" t="s">
        <v>108</v>
      </c>
      <c r="E15" s="9" t="s">
        <v>109</v>
      </c>
      <c r="F15" s="9">
        <v>9.75</v>
      </c>
    </row>
    <row r="16">
      <c r="B16" s="9">
        <v>4.0</v>
      </c>
      <c r="C16" s="9">
        <v>7.0</v>
      </c>
      <c r="D16" s="9" t="s">
        <v>110</v>
      </c>
      <c r="E16" s="9">
        <v>0.75</v>
      </c>
      <c r="F16" s="9" t="s">
        <v>111</v>
      </c>
    </row>
    <row r="17">
      <c r="B17" s="9">
        <v>6.0</v>
      </c>
      <c r="C17" s="9">
        <v>5.0</v>
      </c>
      <c r="D17" s="9">
        <v>1.0</v>
      </c>
      <c r="E17" s="9" t="s">
        <v>112</v>
      </c>
      <c r="F17" s="9" t="s">
        <v>112</v>
      </c>
    </row>
    <row r="18">
      <c r="B18" s="9">
        <v>8.0</v>
      </c>
      <c r="C18" s="9">
        <v>10.0</v>
      </c>
      <c r="D18" s="9">
        <v>3.0</v>
      </c>
      <c r="E18" s="9">
        <v>3.75</v>
      </c>
      <c r="F18" s="9">
        <v>11.25</v>
      </c>
    </row>
    <row r="20">
      <c r="B20" s="1" t="s">
        <v>113</v>
      </c>
    </row>
    <row r="22">
      <c r="B22" s="1" t="s">
        <v>114</v>
      </c>
    </row>
    <row r="23">
      <c r="B23" s="2" t="s">
        <v>115</v>
      </c>
    </row>
    <row r="25">
      <c r="B25" s="1" t="s">
        <v>116</v>
      </c>
    </row>
    <row r="26">
      <c r="B26" s="2" t="s">
        <v>117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2">
      <c r="B2" s="1" t="s">
        <v>118</v>
      </c>
    </row>
    <row r="4">
      <c r="B4" s="2" t="s">
        <v>119</v>
      </c>
      <c r="C4" s="2">
        <v>10.0</v>
      </c>
      <c r="D4" s="2">
        <v>20.0</v>
      </c>
      <c r="E4" s="2">
        <v>30.0</v>
      </c>
      <c r="F4" s="2">
        <v>40.0</v>
      </c>
      <c r="G4" s="2">
        <v>50.0</v>
      </c>
    </row>
    <row r="5">
      <c r="B5" s="2" t="s">
        <v>120</v>
      </c>
      <c r="C5" s="2">
        <v>8.0</v>
      </c>
      <c r="D5" s="2">
        <v>14.0</v>
      </c>
      <c r="E5" s="2">
        <v>18.0</v>
      </c>
      <c r="F5" s="2">
        <v>24.0</v>
      </c>
      <c r="G5" s="2">
        <v>28.0</v>
      </c>
    </row>
    <row r="7">
      <c r="B7" s="1" t="s">
        <v>121</v>
      </c>
    </row>
    <row r="9">
      <c r="B9" s="1" t="s">
        <v>122</v>
      </c>
    </row>
    <row r="10">
      <c r="B10" s="2" t="s">
        <v>123</v>
      </c>
    </row>
    <row r="11">
      <c r="B11" s="2" t="s">
        <v>124</v>
      </c>
    </row>
    <row r="13">
      <c r="B13" s="1" t="s">
        <v>125</v>
      </c>
    </row>
    <row r="14">
      <c r="B14" s="2" t="s">
        <v>126</v>
      </c>
    </row>
    <row r="15">
      <c r="B15" s="2" t="s">
        <v>127</v>
      </c>
    </row>
    <row r="16">
      <c r="B16" s="2" t="s">
        <v>128</v>
      </c>
    </row>
    <row r="18">
      <c r="B18" s="1" t="s">
        <v>129</v>
      </c>
    </row>
    <row r="19">
      <c r="B19" s="2" t="s">
        <v>130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131</v>
      </c>
    </row>
    <row r="4">
      <c r="B4" s="2" t="s">
        <v>132</v>
      </c>
      <c r="C4" s="2">
        <v>150.0</v>
      </c>
      <c r="D4" s="2">
        <v>160.0</v>
      </c>
      <c r="E4" s="2">
        <v>165.0</v>
      </c>
      <c r="F4" s="2">
        <v>170.0</v>
      </c>
      <c r="G4" s="2">
        <v>180.0</v>
      </c>
    </row>
    <row r="5">
      <c r="B5" s="2" t="s">
        <v>133</v>
      </c>
      <c r="C5" s="2">
        <v>50.0</v>
      </c>
      <c r="D5" s="2">
        <v>55.0</v>
      </c>
      <c r="E5" s="2">
        <v>58.0</v>
      </c>
      <c r="F5" s="2">
        <v>62.0</v>
      </c>
      <c r="G5" s="2">
        <v>70.0</v>
      </c>
    </row>
    <row r="7">
      <c r="B7" s="2" t="s">
        <v>122</v>
      </c>
    </row>
    <row r="8">
      <c r="B8" s="2" t="s">
        <v>134</v>
      </c>
    </row>
    <row r="9">
      <c r="B9" s="2" t="s">
        <v>135</v>
      </c>
    </row>
    <row r="11">
      <c r="B11" s="1" t="s">
        <v>136</v>
      </c>
    </row>
    <row r="12">
      <c r="C12" s="2" t="s">
        <v>137</v>
      </c>
    </row>
    <row r="13">
      <c r="C13" s="2" t="s">
        <v>138</v>
      </c>
    </row>
    <row r="14">
      <c r="C14" s="2" t="s">
        <v>139</v>
      </c>
    </row>
    <row r="16">
      <c r="B16" s="1" t="s">
        <v>140</v>
      </c>
    </row>
    <row r="17">
      <c r="C17" s="2" t="s">
        <v>141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142</v>
      </c>
    </row>
    <row r="4">
      <c r="B4" s="2" t="s">
        <v>143</v>
      </c>
      <c r="C4" s="2">
        <v>1.0</v>
      </c>
      <c r="D4" s="2">
        <v>2.0</v>
      </c>
      <c r="E4" s="2">
        <v>3.0</v>
      </c>
      <c r="F4" s="2">
        <v>4.0</v>
      </c>
      <c r="G4" s="2">
        <v>5.0</v>
      </c>
    </row>
    <row r="5">
      <c r="B5" s="2" t="s">
        <v>144</v>
      </c>
      <c r="C5" s="2">
        <v>15.0</v>
      </c>
      <c r="D5" s="2">
        <v>12.0</v>
      </c>
      <c r="E5" s="2">
        <v>9.0</v>
      </c>
      <c r="F5" s="2">
        <v>7.0</v>
      </c>
      <c r="G5" s="2">
        <v>3.0</v>
      </c>
    </row>
    <row r="8">
      <c r="B8" s="1" t="s">
        <v>145</v>
      </c>
    </row>
    <row r="10">
      <c r="B10" s="2" t="s">
        <v>146</v>
      </c>
    </row>
    <row r="11">
      <c r="B11" s="2" t="s">
        <v>147</v>
      </c>
    </row>
    <row r="13">
      <c r="B13" s="1" t="s">
        <v>148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149</v>
      </c>
    </row>
    <row r="4">
      <c r="B4" s="3" t="s">
        <v>150</v>
      </c>
      <c r="C4" s="3" t="s">
        <v>151</v>
      </c>
      <c r="D4" s="3" t="s">
        <v>152</v>
      </c>
    </row>
    <row r="5">
      <c r="B5" s="9">
        <v>1.0</v>
      </c>
      <c r="C5" s="9">
        <v>8.0</v>
      </c>
      <c r="D5" s="9">
        <v>6.0</v>
      </c>
    </row>
    <row r="6">
      <c r="B6" s="9">
        <v>2.0</v>
      </c>
      <c r="C6" s="9">
        <v>10.0</v>
      </c>
      <c r="D6" s="9">
        <v>9.0</v>
      </c>
    </row>
    <row r="7">
      <c r="B7" s="9">
        <v>3.0</v>
      </c>
      <c r="C7" s="9">
        <v>12.0</v>
      </c>
      <c r="D7" s="9">
        <v>11.0</v>
      </c>
    </row>
    <row r="8">
      <c r="B8" s="9">
        <v>4.0</v>
      </c>
      <c r="C8" s="9">
        <v>9.0</v>
      </c>
      <c r="D8" s="9">
        <v>8.0</v>
      </c>
    </row>
    <row r="9">
      <c r="B9" s="9">
        <v>5.0</v>
      </c>
      <c r="C9" s="9">
        <v>11.0</v>
      </c>
      <c r="D9" s="9">
        <v>10.0</v>
      </c>
    </row>
    <row r="12">
      <c r="B12" s="1" t="s">
        <v>122</v>
      </c>
    </row>
    <row r="13">
      <c r="B13" s="2" t="s">
        <v>153</v>
      </c>
    </row>
    <row r="14">
      <c r="B14" s="2" t="s">
        <v>154</v>
      </c>
    </row>
    <row r="16">
      <c r="B16" s="1" t="s">
        <v>155</v>
      </c>
    </row>
    <row r="18">
      <c r="B18" s="3" t="s">
        <v>150</v>
      </c>
      <c r="C18" s="3" t="s">
        <v>156</v>
      </c>
      <c r="D18" s="3" t="s">
        <v>157</v>
      </c>
      <c r="E18" s="3" t="s">
        <v>107</v>
      </c>
    </row>
    <row r="19">
      <c r="B19" s="9">
        <v>1.0</v>
      </c>
      <c r="C19" s="9" t="s">
        <v>158</v>
      </c>
      <c r="D19" s="9" t="s">
        <v>159</v>
      </c>
      <c r="E19" s="9">
        <v>5.6</v>
      </c>
    </row>
    <row r="20">
      <c r="B20" s="9">
        <v>2.0</v>
      </c>
      <c r="C20" s="9">
        <v>0.0</v>
      </c>
      <c r="D20" s="9">
        <v>0.2</v>
      </c>
      <c r="E20" s="9">
        <v>0.0</v>
      </c>
    </row>
    <row r="21">
      <c r="B21" s="9">
        <v>3.0</v>
      </c>
      <c r="C21" s="9">
        <v>2.0</v>
      </c>
      <c r="D21" s="9">
        <v>2.2</v>
      </c>
      <c r="E21" s="9">
        <v>4.4</v>
      </c>
    </row>
    <row r="22">
      <c r="B22" s="9">
        <v>4.0</v>
      </c>
      <c r="C22" s="9" t="s">
        <v>110</v>
      </c>
      <c r="D22" s="9" t="s">
        <v>160</v>
      </c>
      <c r="E22" s="9">
        <v>0.8</v>
      </c>
    </row>
    <row r="23">
      <c r="B23" s="9">
        <v>5.0</v>
      </c>
      <c r="C23" s="9">
        <v>1.0</v>
      </c>
      <c r="D23" s="9">
        <v>1.2</v>
      </c>
      <c r="E23" s="9">
        <v>1.2</v>
      </c>
    </row>
    <row r="25">
      <c r="B25" s="1" t="s">
        <v>161</v>
      </c>
    </row>
    <row r="27">
      <c r="B27" s="1" t="s">
        <v>162</v>
      </c>
    </row>
    <row r="28">
      <c r="B28" s="1" t="s">
        <v>163</v>
      </c>
    </row>
    <row r="30">
      <c r="B30" s="1" t="s">
        <v>164</v>
      </c>
    </row>
    <row r="31">
      <c r="B31" s="1" t="s">
        <v>165</v>
      </c>
    </row>
    <row r="33">
      <c r="B33" s="10">
        <f> STDEV(C19,C20,C21,C22,C23)</f>
        <v>1</v>
      </c>
    </row>
    <row r="35">
      <c r="B35" s="1" t="s">
        <v>166</v>
      </c>
    </row>
    <row r="36">
      <c r="B36" s="10">
        <f>STDEV(D19,D20,,D21,D22,D23)</f>
        <v>1.01324561</v>
      </c>
    </row>
    <row r="38">
      <c r="B38" s="1" t="s">
        <v>167</v>
      </c>
      <c r="D38" s="2" t="s">
        <v>168</v>
      </c>
    </row>
  </sheetData>
  <drawing r:id="rId1"/>
</worksheet>
</file>