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12E9191D-44DD-4CC0-9DE8-8346DE5991F6}" xr6:coauthVersionLast="47" xr6:coauthVersionMax="47" xr10:uidLastSave="{00000000-0000-0000-0000-000000000000}"/>
  <bookViews>
    <workbookView xWindow="-120" yWindow="-120" windowWidth="20730" windowHeight="11160" xr2:uid="{8FD5F06A-1614-4CA1-9460-C21C81F1E86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80" i="1" l="1"/>
  <c r="C70" i="1"/>
  <c r="E55" i="1"/>
  <c r="E56" i="1"/>
  <c r="E54" i="1"/>
  <c r="C49" i="1"/>
  <c r="B38" i="1"/>
  <c r="D24" i="1" a="1"/>
  <c r="D24" i="1" s="1"/>
  <c r="D25" i="1" a="1"/>
  <c r="D25" i="1"/>
  <c r="D26" i="1" a="1"/>
  <c r="D26" i="1" s="1"/>
  <c r="D27" i="1" a="1"/>
  <c r="D27" i="1" s="1"/>
  <c r="D23" i="1" a="1"/>
  <c r="D23" i="1" s="1"/>
  <c r="E15" i="1"/>
  <c r="E16" i="1"/>
  <c r="E17" i="1"/>
  <c r="E18" i="1"/>
  <c r="D6" i="1" l="1"/>
  <c r="D7" i="1"/>
  <c r="D8" i="1"/>
  <c r="D9" i="1"/>
  <c r="D5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<sst xmlns="http://schemas.openxmlformats.org/spreadsheetml/2006/main" count="79" uniqueCount="66">
  <si>
    <t>1. Write a formula to check if the marks in cell B3 are greater than or equal to 40. If yes, return ,"Pass" otherwise "Fail"</t>
  </si>
  <si>
    <t>Student Name Marks</t>
  </si>
  <si>
    <t>Marks</t>
  </si>
  <si>
    <t xml:space="preserve">Riya </t>
  </si>
  <si>
    <t>siya</t>
  </si>
  <si>
    <t>Raju</t>
  </si>
  <si>
    <t>Rahul</t>
  </si>
  <si>
    <t xml:space="preserve">Ram </t>
  </si>
  <si>
    <t>Result</t>
  </si>
  <si>
    <t>2. A company gives a bonus  if sales are above 40,000 and attendance is greater than or equal to 90%. Write a formula to calculate whether the employee will get a bonus or not .</t>
  </si>
  <si>
    <t>Arjun</t>
  </si>
  <si>
    <t>Simran</t>
  </si>
  <si>
    <t>Rohit</t>
  </si>
  <si>
    <t>Anjali</t>
  </si>
  <si>
    <t>Employee</t>
  </si>
  <si>
    <t>Sales</t>
  </si>
  <si>
    <t>Attendance</t>
  </si>
  <si>
    <t>Eligible for bonus</t>
  </si>
  <si>
    <t>3. Write a nested IF formula: if marks are &gt;= 90 then "A", &gt;= 75 "B" , &gt;= 50 "C" , Otherwise fail</t>
  </si>
  <si>
    <t>Student Name</t>
  </si>
  <si>
    <t>Raj</t>
  </si>
  <si>
    <t>Neha</t>
  </si>
  <si>
    <t>Vivek</t>
  </si>
  <si>
    <t>Rani</t>
  </si>
  <si>
    <t>Sneha</t>
  </si>
  <si>
    <t xml:space="preserve">Grade </t>
  </si>
  <si>
    <t>4. Find the Department of Employee ID = E103. Also explain which LOOKUP function is used and why?</t>
  </si>
  <si>
    <t>Emp Id</t>
  </si>
  <si>
    <t>Name</t>
  </si>
  <si>
    <t>Department</t>
  </si>
  <si>
    <t>E101</t>
  </si>
  <si>
    <t>E102</t>
  </si>
  <si>
    <t>E103</t>
  </si>
  <si>
    <t>E104</t>
  </si>
  <si>
    <t>Roshni</t>
  </si>
  <si>
    <t>Riya</t>
  </si>
  <si>
    <t>Sejal</t>
  </si>
  <si>
    <t>IT</t>
  </si>
  <si>
    <t>HR</t>
  </si>
  <si>
    <t>Finance</t>
  </si>
  <si>
    <t>Ans :-</t>
  </si>
  <si>
    <r>
      <rPr>
        <b/>
        <sz val="11"/>
        <color theme="1"/>
        <rFont val="Aptos Narrow"/>
        <family val="2"/>
        <scheme val="minor"/>
      </rPr>
      <t>Ans : -</t>
    </r>
    <r>
      <rPr>
        <sz val="11"/>
        <color theme="1"/>
        <rFont val="Aptos Narrow"/>
        <family val="2"/>
        <scheme val="minor"/>
      </rPr>
      <t xml:space="preserve"> VLOOKUP Function will be used because data is vertically arranged</t>
    </r>
  </si>
  <si>
    <t xml:space="preserve"> 5. A company has set the following commission structure for its sales team</t>
  </si>
  <si>
    <t>Sales Amount</t>
  </si>
  <si>
    <t>Commision Rate</t>
  </si>
  <si>
    <t>If a salesperson achieves sales of ₹45,000, use the VLOOKUP function to determine the commission rate applicable</t>
  </si>
  <si>
    <t>Ans : -</t>
  </si>
  <si>
    <t>6.The HR department maintains the following leave records of employees:onus or not</t>
  </si>
  <si>
    <t>Employee Name</t>
  </si>
  <si>
    <t>Leaves taken</t>
  </si>
  <si>
    <t>Leaves Allowed</t>
  </si>
  <si>
    <t>Alex</t>
  </si>
  <si>
    <t>Bob</t>
  </si>
  <si>
    <t>Anna</t>
  </si>
  <si>
    <t>Write an IF function to check whether an employee has Exceeded their allowed leave balance. If Leaves Taken &gt; Allowed Leaves, display "Exceeded".</t>
  </si>
  <si>
    <t>Otherwise, display "OK".</t>
  </si>
  <si>
    <t>Leaves Exceed / not</t>
  </si>
  <si>
    <t>7.Find the salary of EmpID = E105 using INDEX-MATCH Function.</t>
  </si>
  <si>
    <t>Emp ID</t>
  </si>
  <si>
    <t>Salary</t>
  </si>
  <si>
    <t>E105</t>
  </si>
  <si>
    <t>E106</t>
  </si>
  <si>
    <t xml:space="preserve">Ans :- </t>
  </si>
  <si>
    <t xml:space="preserve"> 8. Use the XLOOKUP function to find the Department of the employee with Emp ID = E303</t>
  </si>
  <si>
    <t>E303</t>
  </si>
  <si>
    <t>E301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</si>
</sst>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/>
    <xf numFmtId="0" fontId="0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0" borderId="0" xfId="0" applyFont="1" applyAlignment="1">
      <alignment horizontal="left"/>
    </xf>
    <xf numFmtId="0" fontId="0" fillId="2" borderId="0" xfId="0" applyFill="1" applyAlignment="1">
      <alignment horizontal="center"/>
    </xf>
    <xf numFmtId="0" fontId="1" fillId="2" borderId="0" xfId="0" applyFont="1" applyFill="1"/>
    <xf numFmtId="0" fontId="0" fillId="2" borderId="0" xfId="0" applyFill="1" applyAlignment="1">
      <alignment horizontal="center"/>
    </xf>
    <xf numFmtId="0" fontId="0" fillId="0" borderId="0" xfId="0" applyFont="1" applyAlignment="1">
      <alignment horizontal="left"/>
    </xf>
    <xf numFmtId="9" fontId="0" fillId="0" borderId="0" xfId="0" applyNumberFormat="1" applyAlignment="1">
      <alignment horizontal="center"/>
    </xf>
    <xf numFmtId="10" fontId="1" fillId="2" borderId="0" xfId="0" applyNumberFormat="1" applyFont="1" applyFill="1"/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63CD70-8BA2-4DDF-9521-08B9C3BD994E}">
  <dimension ref="A2:Q80"/>
  <sheetViews>
    <sheetView tabSelected="1" topLeftCell="A70" workbookViewId="0">
      <selection activeCell="C80" sqref="C80"/>
    </sheetView>
  </sheetViews>
  <sheetFormatPr defaultRowHeight="15" x14ac:dyDescent="0.25"/>
  <cols>
    <col min="1" max="1" width="10.85546875" customWidth="1"/>
    <col min="2" max="2" width="16.140625" customWidth="1"/>
    <col min="3" max="3" width="15.140625" customWidth="1"/>
    <col min="4" max="4" width="15" customWidth="1"/>
    <col min="5" max="5" width="19.85546875" customWidth="1"/>
  </cols>
  <sheetData>
    <row r="2" spans="1:17" x14ac:dyDescent="0.25">
      <c r="B2" s="8" t="s">
        <v>0</v>
      </c>
      <c r="C2" s="8"/>
      <c r="D2" s="8"/>
      <c r="E2" s="8"/>
      <c r="F2" s="8"/>
      <c r="G2" s="8"/>
      <c r="H2" s="8"/>
      <c r="I2" s="8"/>
      <c r="J2" s="8"/>
      <c r="K2" s="8"/>
      <c r="L2" s="8"/>
      <c r="M2" s="8"/>
    </row>
    <row r="4" spans="1:17" x14ac:dyDescent="0.25">
      <c r="A4" s="3"/>
      <c r="B4" s="3" t="s">
        <v>1</v>
      </c>
      <c r="C4" s="4" t="s">
        <v>2</v>
      </c>
      <c r="D4" s="7" t="s">
        <v>8</v>
      </c>
    </row>
    <row r="5" spans="1:17" x14ac:dyDescent="0.25">
      <c r="B5" s="1" t="s">
        <v>3</v>
      </c>
      <c r="C5" s="1">
        <v>45</v>
      </c>
      <c r="D5" s="6" t="str">
        <f>IF(C5&gt;=40,"Pass","Fail")</f>
        <v>Pass</v>
      </c>
    </row>
    <row r="6" spans="1:17" x14ac:dyDescent="0.25">
      <c r="B6" s="1" t="s">
        <v>4</v>
      </c>
      <c r="C6" s="1">
        <v>72</v>
      </c>
      <c r="D6" s="6" t="str">
        <f t="shared" ref="D6:D9" si="0">IF(C6&gt;=40,"Pass","Fail")</f>
        <v>Pass</v>
      </c>
    </row>
    <row r="7" spans="1:17" x14ac:dyDescent="0.25">
      <c r="B7" s="1" t="s">
        <v>5</v>
      </c>
      <c r="C7" s="1">
        <v>55</v>
      </c>
      <c r="D7" s="6" t="str">
        <f t="shared" si="0"/>
        <v>Pass</v>
      </c>
    </row>
    <row r="8" spans="1:17" x14ac:dyDescent="0.25">
      <c r="B8" s="1" t="s">
        <v>6</v>
      </c>
      <c r="C8" s="1">
        <v>80</v>
      </c>
      <c r="D8" s="6" t="str">
        <f t="shared" si="0"/>
        <v>Pass</v>
      </c>
    </row>
    <row r="9" spans="1:17" x14ac:dyDescent="0.25">
      <c r="B9" s="1" t="s">
        <v>7</v>
      </c>
      <c r="C9" s="1">
        <v>30</v>
      </c>
      <c r="D9" s="6" t="str">
        <f t="shared" si="0"/>
        <v>Fail</v>
      </c>
    </row>
    <row r="12" spans="1:17" x14ac:dyDescent="0.25">
      <c r="B12" s="5" t="s">
        <v>9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</row>
    <row r="14" spans="1:17" x14ac:dyDescent="0.25">
      <c r="B14" s="4" t="s">
        <v>14</v>
      </c>
      <c r="C14" s="4" t="s">
        <v>15</v>
      </c>
      <c r="D14" s="4" t="s">
        <v>16</v>
      </c>
      <c r="E14" s="2" t="s">
        <v>17</v>
      </c>
      <c r="F14" s="2"/>
    </row>
    <row r="15" spans="1:17" x14ac:dyDescent="0.25">
      <c r="B15" t="s">
        <v>10</v>
      </c>
      <c r="C15">
        <v>55000</v>
      </c>
      <c r="D15">
        <v>95</v>
      </c>
      <c r="E15" s="9" t="str">
        <f>IF(AND(C15&gt;40000,D15&gt;90),"ELigible","Not eligible")</f>
        <v>ELigible</v>
      </c>
      <c r="F15" s="9"/>
    </row>
    <row r="16" spans="1:17" x14ac:dyDescent="0.25">
      <c r="B16" t="s">
        <v>11</v>
      </c>
      <c r="C16">
        <v>65000</v>
      </c>
      <c r="D16">
        <v>85</v>
      </c>
      <c r="E16" s="9" t="str">
        <f t="shared" ref="E16:E18" si="1">IF(AND(C16&gt;40000,D16&gt;90),"ELigible","Not eligible")</f>
        <v>Not eligible</v>
      </c>
      <c r="F16" s="9"/>
    </row>
    <row r="17" spans="2:10" x14ac:dyDescent="0.25">
      <c r="B17" t="s">
        <v>12</v>
      </c>
      <c r="C17">
        <v>30000</v>
      </c>
      <c r="D17">
        <v>90</v>
      </c>
      <c r="E17" s="9" t="str">
        <f t="shared" si="1"/>
        <v>Not eligible</v>
      </c>
      <c r="F17" s="9"/>
    </row>
    <row r="18" spans="2:10" x14ac:dyDescent="0.25">
      <c r="B18" t="s">
        <v>13</v>
      </c>
      <c r="C18">
        <v>25000</v>
      </c>
      <c r="D18">
        <v>65</v>
      </c>
      <c r="E18" s="9" t="str">
        <f t="shared" si="1"/>
        <v>Not eligible</v>
      </c>
      <c r="F18" s="9"/>
    </row>
    <row r="20" spans="2:10" x14ac:dyDescent="0.25">
      <c r="B20" s="8" t="s">
        <v>18</v>
      </c>
      <c r="C20" s="8"/>
      <c r="D20" s="8"/>
      <c r="E20" s="8"/>
      <c r="F20" s="8"/>
      <c r="G20" s="8"/>
      <c r="H20" s="8"/>
      <c r="I20" s="8"/>
      <c r="J20" s="8"/>
    </row>
    <row r="22" spans="2:10" x14ac:dyDescent="0.25">
      <c r="B22" s="4" t="s">
        <v>19</v>
      </c>
      <c r="C22" s="4" t="s">
        <v>2</v>
      </c>
      <c r="D22" s="7" t="s">
        <v>25</v>
      </c>
    </row>
    <row r="23" spans="2:10" x14ac:dyDescent="0.25">
      <c r="B23" s="1" t="s">
        <v>20</v>
      </c>
      <c r="C23" s="1">
        <v>85</v>
      </c>
      <c r="D23" s="11" t="str" cm="1">
        <f t="array" ref="D23">_xlfn.IFS(C23&gt;=90,"A",C23&gt;=75,"B",C23&gt;=50,"C",C23&lt;50,"Fail")</f>
        <v>B</v>
      </c>
    </row>
    <row r="24" spans="2:10" x14ac:dyDescent="0.25">
      <c r="B24" s="1" t="s">
        <v>21</v>
      </c>
      <c r="C24" s="1">
        <v>96</v>
      </c>
      <c r="D24" s="11" t="str" cm="1">
        <f t="array" ref="D24">_xlfn.IFS(C24&gt;=90,"A",C24&gt;=75,"B",C24&gt;=50,"C",C24&lt;50,"Fail")</f>
        <v>A</v>
      </c>
    </row>
    <row r="25" spans="2:10" x14ac:dyDescent="0.25">
      <c r="B25" s="1" t="s">
        <v>22</v>
      </c>
      <c r="C25" s="1">
        <v>57</v>
      </c>
      <c r="D25" s="11" t="str" cm="1">
        <f t="array" ref="D25">_xlfn.IFS(C25&gt;=90,"A",C25&gt;=75,"B",C25&gt;=50,"C",C25&lt;50,"Fail")</f>
        <v>C</v>
      </c>
    </row>
    <row r="26" spans="2:10" x14ac:dyDescent="0.25">
      <c r="B26" s="1" t="s">
        <v>23</v>
      </c>
      <c r="C26" s="1">
        <v>92</v>
      </c>
      <c r="D26" s="11" t="str" cm="1">
        <f t="array" ref="D26">_xlfn.IFS(C26&gt;=90,"A",C26&gt;=75,"B",C26&gt;=50,"C",C26&lt;50,"Fail")</f>
        <v>A</v>
      </c>
    </row>
    <row r="27" spans="2:10" x14ac:dyDescent="0.25">
      <c r="B27" s="1" t="s">
        <v>24</v>
      </c>
      <c r="C27" s="1">
        <v>75</v>
      </c>
      <c r="D27" s="11" t="str" cm="1">
        <f t="array" ref="D27">_xlfn.IFS(C27&gt;=90,"A",C27&gt;=75,"B",C27&gt;=50,"C",C27&lt;50,"Fail")</f>
        <v>B</v>
      </c>
    </row>
    <row r="29" spans="2:10" x14ac:dyDescent="0.25">
      <c r="B29" s="8" t="s">
        <v>26</v>
      </c>
      <c r="C29" s="8"/>
      <c r="D29" s="8"/>
      <c r="E29" s="8"/>
      <c r="F29" s="8"/>
      <c r="G29" s="8"/>
      <c r="H29" s="8"/>
      <c r="I29" s="8"/>
      <c r="J29" s="8"/>
    </row>
    <row r="31" spans="2:10" x14ac:dyDescent="0.25">
      <c r="B31" s="4" t="s">
        <v>27</v>
      </c>
      <c r="C31" s="4" t="s">
        <v>28</v>
      </c>
      <c r="D31" s="4" t="s">
        <v>29</v>
      </c>
    </row>
    <row r="32" spans="2:10" x14ac:dyDescent="0.25">
      <c r="B32" s="1" t="s">
        <v>30</v>
      </c>
      <c r="C32" s="1" t="s">
        <v>5</v>
      </c>
      <c r="D32" s="1" t="s">
        <v>37</v>
      </c>
    </row>
    <row r="33" spans="2:11" x14ac:dyDescent="0.25">
      <c r="B33" s="1" t="s">
        <v>31</v>
      </c>
      <c r="C33" s="1" t="s">
        <v>35</v>
      </c>
      <c r="D33" s="1" t="s">
        <v>38</v>
      </c>
    </row>
    <row r="34" spans="2:11" x14ac:dyDescent="0.25">
      <c r="B34" s="1" t="s">
        <v>32</v>
      </c>
      <c r="C34" s="1" t="s">
        <v>34</v>
      </c>
      <c r="D34" s="1" t="s">
        <v>39</v>
      </c>
    </row>
    <row r="35" spans="2:11" x14ac:dyDescent="0.25">
      <c r="B35" s="1" t="s">
        <v>33</v>
      </c>
      <c r="C35" s="1" t="s">
        <v>36</v>
      </c>
      <c r="D35" s="1" t="s">
        <v>15</v>
      </c>
    </row>
    <row r="37" spans="2:11" x14ac:dyDescent="0.25">
      <c r="B37" s="12" t="s">
        <v>41</v>
      </c>
      <c r="C37" s="12"/>
      <c r="D37" s="12"/>
      <c r="E37" s="12"/>
      <c r="F37" s="12"/>
      <c r="G37" s="12"/>
      <c r="H37" s="12"/>
      <c r="I37" s="12"/>
    </row>
    <row r="38" spans="2:11" x14ac:dyDescent="0.25">
      <c r="B38" s="7" t="str">
        <f>VLOOKUP("E103",B32:D35,3,FALSE)</f>
        <v>Finance</v>
      </c>
    </row>
    <row r="40" spans="2:11" x14ac:dyDescent="0.25">
      <c r="B40" s="8" t="s">
        <v>42</v>
      </c>
      <c r="C40" s="8"/>
      <c r="D40" s="8"/>
      <c r="E40" s="8"/>
      <c r="F40" s="8"/>
      <c r="G40" s="8"/>
      <c r="H40" s="8"/>
    </row>
    <row r="42" spans="2:11" x14ac:dyDescent="0.25">
      <c r="B42" s="4" t="s">
        <v>43</v>
      </c>
      <c r="C42" s="4" t="s">
        <v>44</v>
      </c>
    </row>
    <row r="43" spans="2:11" x14ac:dyDescent="0.25">
      <c r="B43" s="1">
        <v>0</v>
      </c>
      <c r="C43" s="13">
        <v>0.05</v>
      </c>
    </row>
    <row r="44" spans="2:11" x14ac:dyDescent="0.25">
      <c r="B44" s="1">
        <v>20000</v>
      </c>
      <c r="C44" s="13">
        <v>0.1</v>
      </c>
    </row>
    <row r="45" spans="2:11" x14ac:dyDescent="0.25">
      <c r="B45" s="1">
        <v>50000</v>
      </c>
      <c r="C45" s="13">
        <v>0.15</v>
      </c>
    </row>
    <row r="46" spans="2:11" x14ac:dyDescent="0.25">
      <c r="B46" s="1">
        <v>80000</v>
      </c>
      <c r="C46" s="13">
        <v>0.2</v>
      </c>
    </row>
    <row r="48" spans="2:11" x14ac:dyDescent="0.25">
      <c r="B48" s="8" t="s">
        <v>45</v>
      </c>
      <c r="C48" s="8"/>
      <c r="D48" s="8"/>
      <c r="E48" s="8"/>
      <c r="F48" s="8"/>
      <c r="G48" s="8"/>
      <c r="H48" s="8"/>
      <c r="I48" s="8"/>
      <c r="J48" s="8"/>
      <c r="K48" s="8"/>
    </row>
    <row r="49" spans="2:14" x14ac:dyDescent="0.25">
      <c r="B49" s="7" t="s">
        <v>46</v>
      </c>
      <c r="C49" s="14">
        <f xml:space="preserve"> VLOOKUP(45000,B43:C46,2,TRUE)</f>
        <v>0.1</v>
      </c>
    </row>
    <row r="51" spans="2:14" x14ac:dyDescent="0.25">
      <c r="B51" s="8" t="s">
        <v>47</v>
      </c>
      <c r="C51" s="8"/>
      <c r="D51" s="8"/>
      <c r="E51" s="8"/>
      <c r="F51" s="8"/>
      <c r="G51" s="8"/>
      <c r="H51" s="8"/>
    </row>
    <row r="53" spans="2:14" x14ac:dyDescent="0.25">
      <c r="B53" s="17" t="s">
        <v>48</v>
      </c>
      <c r="C53" s="17" t="s">
        <v>49</v>
      </c>
      <c r="D53" s="17" t="s">
        <v>50</v>
      </c>
      <c r="E53" s="18" t="s">
        <v>56</v>
      </c>
    </row>
    <row r="54" spans="2:14" x14ac:dyDescent="0.25">
      <c r="B54" s="19" t="s">
        <v>51</v>
      </c>
      <c r="C54" s="19">
        <v>10</v>
      </c>
      <c r="D54" s="19">
        <v>12</v>
      </c>
      <c r="E54" s="20" t="str">
        <f>IF(C54&gt;D54,"Exceed","OK")</f>
        <v>OK</v>
      </c>
    </row>
    <row r="55" spans="2:14" x14ac:dyDescent="0.25">
      <c r="B55" s="19" t="s">
        <v>52</v>
      </c>
      <c r="C55" s="19">
        <v>10</v>
      </c>
      <c r="D55" s="19">
        <v>15</v>
      </c>
      <c r="E55" s="20" t="str">
        <f t="shared" ref="E55:E56" si="2">IF(C55&gt;D55,"Exceed","OK")</f>
        <v>OK</v>
      </c>
    </row>
    <row r="56" spans="2:14" x14ac:dyDescent="0.25">
      <c r="B56" s="21" t="s">
        <v>53</v>
      </c>
      <c r="C56" s="21">
        <v>8</v>
      </c>
      <c r="D56" s="21">
        <v>12</v>
      </c>
      <c r="E56" s="22" t="str">
        <f t="shared" si="2"/>
        <v>OK</v>
      </c>
    </row>
    <row r="58" spans="2:14" x14ac:dyDescent="0.25">
      <c r="B58" s="16" t="s">
        <v>54</v>
      </c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</row>
    <row r="59" spans="2:14" x14ac:dyDescent="0.25">
      <c r="B59" s="8" t="s">
        <v>55</v>
      </c>
      <c r="C59" s="8"/>
      <c r="D59" s="15"/>
      <c r="E59" s="15"/>
      <c r="F59" s="15"/>
      <c r="G59" s="15"/>
      <c r="H59" s="15"/>
      <c r="I59" s="15"/>
      <c r="J59" s="15"/>
      <c r="K59" s="15"/>
      <c r="L59" s="15"/>
      <c r="M59" s="15"/>
    </row>
    <row r="62" spans="2:14" x14ac:dyDescent="0.25">
      <c r="B62" s="8" t="s">
        <v>57</v>
      </c>
      <c r="C62" s="8"/>
      <c r="D62" s="8"/>
      <c r="E62" s="8"/>
    </row>
    <row r="64" spans="2:14" x14ac:dyDescent="0.25">
      <c r="B64" s="4" t="s">
        <v>58</v>
      </c>
      <c r="C64" s="4" t="s">
        <v>59</v>
      </c>
    </row>
    <row r="65" spans="2:7" x14ac:dyDescent="0.25">
      <c r="B65" s="1" t="s">
        <v>33</v>
      </c>
      <c r="C65" s="1">
        <v>55000</v>
      </c>
    </row>
    <row r="66" spans="2:7" x14ac:dyDescent="0.25">
      <c r="B66" s="1" t="s">
        <v>60</v>
      </c>
      <c r="C66" s="1">
        <v>72000</v>
      </c>
    </row>
    <row r="67" spans="2:7" x14ac:dyDescent="0.25">
      <c r="B67" s="1" t="s">
        <v>61</v>
      </c>
      <c r="C67" s="1">
        <v>62000</v>
      </c>
    </row>
    <row r="68" spans="2:7" x14ac:dyDescent="0.25">
      <c r="B68" s="1" t="s">
        <v>31</v>
      </c>
      <c r="C68" s="1">
        <v>41000</v>
      </c>
    </row>
    <row r="70" spans="2:7" x14ac:dyDescent="0.25">
      <c r="B70" s="4" t="s">
        <v>62</v>
      </c>
      <c r="C70" s="10">
        <f>INDEX(C65:C68,MATCH("E105",B65:B68))</f>
        <v>72000</v>
      </c>
    </row>
    <row r="72" spans="2:7" x14ac:dyDescent="0.25">
      <c r="B72" s="8" t="s">
        <v>63</v>
      </c>
      <c r="C72" s="8"/>
      <c r="D72" s="8"/>
      <c r="E72" s="8"/>
      <c r="F72" s="8"/>
      <c r="G72" s="8"/>
    </row>
    <row r="74" spans="2:7" x14ac:dyDescent="0.25">
      <c r="B74" s="4" t="s">
        <v>27</v>
      </c>
      <c r="C74" s="4" t="s">
        <v>59</v>
      </c>
    </row>
    <row r="75" spans="2:7" x14ac:dyDescent="0.25">
      <c r="B75" s="1" t="s">
        <v>30</v>
      </c>
      <c r="C75" s="1" t="s">
        <v>38</v>
      </c>
    </row>
    <row r="76" spans="2:7" x14ac:dyDescent="0.25">
      <c r="B76" s="1" t="s">
        <v>64</v>
      </c>
      <c r="C76" s="1" t="s">
        <v>37</v>
      </c>
    </row>
    <row r="77" spans="2:7" x14ac:dyDescent="0.25">
      <c r="B77" s="1" t="s">
        <v>61</v>
      </c>
      <c r="C77" s="1" t="s">
        <v>15</v>
      </c>
    </row>
    <row r="78" spans="2:7" x14ac:dyDescent="0.25">
      <c r="B78" s="1" t="s">
        <v>65</v>
      </c>
      <c r="C78" s="1" t="s">
        <v>39</v>
      </c>
    </row>
    <row r="80" spans="2:7" x14ac:dyDescent="0.25">
      <c r="B80" s="7" t="s">
        <v>40</v>
      </c>
      <c r="C80" s="7" t="str">
        <f xml:space="preserve"> _xlfn.XLOOKUP("E303",B75:B78, C75:C78)</f>
        <v>IT</v>
      </c>
    </row>
  </sheetData>
  <mergeCells count="16">
    <mergeCell ref="B62:E62"/>
    <mergeCell ref="B59:C59"/>
    <mergeCell ref="B72:G72"/>
    <mergeCell ref="B40:H40"/>
    <mergeCell ref="B48:K48"/>
    <mergeCell ref="B51:H51"/>
    <mergeCell ref="B58:N58"/>
    <mergeCell ref="E18:F18"/>
    <mergeCell ref="B20:J20"/>
    <mergeCell ref="B29:J29"/>
    <mergeCell ref="B37:I37"/>
    <mergeCell ref="B2:M2"/>
    <mergeCell ref="E14:F14"/>
    <mergeCell ref="E15:F15"/>
    <mergeCell ref="E16:F16"/>
    <mergeCell ref="E17:F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2025-11-25T12:39:52Z</dcterms:created>
  <dcterms:modified xsi:type="dcterms:W3CDTF">2025-11-25T14:18:28Z</dcterms:modified>
</cp:coreProperties>
</file>