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 1" sheetId="1" r:id="rId4"/>
    <sheet state="visible" name="Ans 2" sheetId="2" r:id="rId5"/>
    <sheet state="visible" name="Ans 3" sheetId="3" r:id="rId6"/>
    <sheet state="visible" name="Ans 4" sheetId="4" r:id="rId7"/>
    <sheet state="visible" name="Ans 5" sheetId="5" r:id="rId8"/>
    <sheet state="visible" name="Ans 6" sheetId="6" r:id="rId9"/>
    <sheet state="visible" name="Ans 7" sheetId="7" r:id="rId10"/>
    <sheet state="visible" name="Sheet8" sheetId="8" r:id="rId11"/>
  </sheets>
  <definedNames/>
  <calcPr/>
</workbook>
</file>

<file path=xl/sharedStrings.xml><?xml version="1.0" encoding="utf-8"?>
<sst xmlns="http://schemas.openxmlformats.org/spreadsheetml/2006/main" count="125" uniqueCount="123">
  <si>
    <t xml:space="preserve"> </t>
  </si>
  <si>
    <t>1.Simulate 30 rolls with =RANDBETWEEN(1,6). What is the probability of rolling a 3 exactly 5 times? (Hint: Use BINOM.DIST)1</t>
  </si>
  <si>
    <t>Ans :-</t>
  </si>
  <si>
    <t>2.Generate 100 values in Excel using the continuous uniform distribution RAND() and plot a histogram. Describe the shape of the distribution.</t>
  </si>
  <si>
    <t>3.A dataset has a mean of 50 and a standard deviation of 5. What percentage of values lie between 45 and 55 if the data follows a normal distribution?</t>
  </si>
  <si>
    <t>Mean (μ) = 50</t>
  </si>
  <si>
    <t>Standard deviation (σ) = 5</t>
  </si>
  <si>
    <t>Distance from the mean to 45:</t>
  </si>
  <si>
    <t>50−45 = 5</t>
  </si>
  <si>
    <t>Distance from the mean to 55:</t>
  </si>
  <si>
    <t>55−50=555 - 50 = 555−50=5</t>
  </si>
  <si>
    <t>Use the Empirical Rule (68–95–99.7 Rule)</t>
  </si>
  <si>
    <t>For a normal distribution, the Empirical Rule tells us:</t>
  </si>
  <si>
    <t>68% of values lie within ±1 standard deviation of the mean</t>
  </si>
  <si>
    <t>95% lie within ±2 standard deviations</t>
  </si>
  <si>
    <t>99.7% lie within ±3 standard deviations</t>
  </si>
  <si>
    <t>Interpret the result</t>
  </si>
  <si>
    <t>The bell curve is symmetric around the mean.</t>
  </si>
  <si>
    <t>About 34% of values lie between the mean and +1σ.</t>
  </si>
  <si>
    <t>About 34% of values lie between the mean and –1σ.</t>
  </si>
  <si>
    <t>Adding them together:</t>
  </si>
  <si>
    <t>34%+34%=68%</t>
  </si>
  <si>
    <t>4.What is the concept of standardization (z-score), and why is it important in data analysis? Explain the formula and how standardization transforms a dataset.</t>
  </si>
  <si>
    <t>z-score tells you how many standard deviations a data point is above or below the mean.</t>
  </si>
  <si>
    <t>Z-Score Formula</t>
  </si>
  <si>
    <t>z=x−μ​ / a</t>
  </si>
  <si>
    <t>Where:</t>
  </si>
  <si>
    <t>x = individual data value</t>
  </si>
  <si>
    <t>μ\muμ = mean of the dataset</t>
  </si>
  <si>
    <t>σ\sigmaσ = standard deviation of the dataset</t>
  </si>
  <si>
    <t>z = z-score (standardized value)</t>
  </si>
  <si>
    <t>When you standardize a dataset:</t>
  </si>
  <si>
    <t>The mean becomes 0</t>
  </si>
  <si>
    <t>Subtracting the mean (x−μx - \mux−μ) centers the data around zero.</t>
  </si>
  <si>
    <t>The standard deviation becomes 1</t>
  </si>
  <si>
    <t>Dividing by the standard deviation rescales the data.</t>
  </si>
  <si>
    <t>The shape of the distribution stays the same</t>
  </si>
  <si>
    <t>Only the scale and center change, not the pattern.</t>
  </si>
  <si>
    <t>Example</t>
  </si>
  <si>
    <t>If a student scores 80 on a test where:</t>
  </si>
  <si>
    <t>Mean = 70</t>
  </si>
  <si>
    <t>Standard deviation = 5</t>
  </si>
  <si>
    <t>X = 80 - 70 / 5 = 2</t>
  </si>
  <si>
    <t>5. What is Kurtosis and their type?</t>
  </si>
  <si>
    <t>urtosis tells us how extreme the outliers are and how concentrated the data is around the mean.</t>
  </si>
  <si>
    <t>Types of Kurtosis</t>
  </si>
  <si>
    <t>1. Mesokurtic</t>
  </si>
  <si>
    <t>Definition: Distribution with kurtosis similar to a normal distribution</t>
  </si>
  <si>
    <t>Kurtosis value: 0 (excess kurtosis) or 3 (raw kurtosis)</t>
  </si>
  <si>
    <t>Shape: Moderate peak, moderate tails</t>
  </si>
  <si>
    <t>Example: Normal distribution</t>
  </si>
  <si>
    <t>2. Leptokurtic</t>
  </si>
  <si>
    <t>Definition: Distribution with high kurtosis</t>
  </si>
  <si>
    <t>Kurtosis value: &gt; 0 (excess kurtosis)</t>
  </si>
  <si>
    <t>Shape: Sharp peak and heavy tails</t>
  </si>
  <si>
    <t>Meaning: More extreme values (outliers) than a normal distribution</t>
  </si>
  <si>
    <t>3. Platykurtic</t>
  </si>
  <si>
    <t>Definition: Distribution with low kurtosis</t>
  </si>
  <si>
    <t>Kurtosis value: &lt; 0 (excess kurtosis)</t>
  </si>
  <si>
    <t>Shape: Flat peak and light tails</t>
  </si>
  <si>
    <t>Meaning: Fewer extreme values than a normal distribution</t>
  </si>
  <si>
    <t>Important Note: Kurtosis vs Skewness</t>
  </si>
  <si>
    <t>Skewness measures asymmetry of a distribution.</t>
  </si>
  <si>
    <t>Kurtosis measures tail heaviness and peakedness</t>
  </si>
  <si>
    <t>6.Explain why the uniform distribution is a good model for the outcome of rolling a fair die.</t>
  </si>
  <si>
    <t>A uniform distribution is a good model for the outcome of rolling a fair die because it matches both the structure of the experiment and the assumptions about fairness and randomness.</t>
  </si>
  <si>
    <t>First, consider the possible outcomes. When a die is rolled, there are exactly six outcomes: 1, 2, 3, 4, 5, and 6. This is a finite and well-defined sample space, which is required for using a discrete uniform distribution.</t>
  </si>
  <si>
    <t>A uniform distribution is a good model for rolling a fair die because:</t>
  </si>
  <si>
    <t>A fair die has six possible outcomes: 1, 2, 3, 4, 5, and 6.</t>
  </si>
  <si>
    <t>Each outcome has the same chance of occurring.</t>
  </si>
  <si>
    <t>No number is favored over the others.</t>
  </si>
  <si>
    <t>Because all outcomes are equally likely, each number has a probability of 1/6. This matches the definition of a uniform distribution, where every possible value occurs with equal probability.</t>
  </si>
  <si>
    <t>So, the uniform distribution accurately represents the randomness and fairness of rolling a fair die.</t>
  </si>
  <si>
    <t>7.Use Excel to compute the probability of getting at least 8 successes in 15 trials with success probability 0.5</t>
  </si>
  <si>
    <t>Number of trials n=15</t>
  </si>
  <si>
    <t>Probability of success p = 0.5</t>
  </si>
  <si>
    <t>You want at least 8 successes, meaning X≥8</t>
  </si>
  <si>
    <t>“At least 8 successes” means: P (X&gt;=8) = 1- P(X&lt;=7)</t>
  </si>
  <si>
    <t>Result</t>
  </si>
  <si>
    <t>8.How does log transformation help in stabilizing variance and making data more normally distributed?</t>
  </si>
  <si>
    <t>A log transformation is commonly used in statistics and data analysis to address two related problems: non-constant variance (heteroscedasticity) and non-normal (right-skewed) distributions. Here’s how it helps with each.</t>
  </si>
  <si>
    <t>1. Stabilizing variance</t>
  </si>
  <si>
    <t>The problem :-</t>
  </si>
  <si>
    <t>n many datasets, variability increases with the size of the values. For example:</t>
  </si>
  <si>
    <t>Small values cluster tightly</t>
  </si>
  <si>
    <t>Large values are spread far apart</t>
  </si>
  <si>
    <t>This violates the assumption of constant variance used by many statistical methods (like linear regression).</t>
  </si>
  <si>
    <t>How the log helps :-</t>
  </si>
  <si>
    <t>A log transformation compresses large values more than small values:</t>
  </si>
  <si>
    <t>Differences among small numbers stay relatively similar</t>
  </si>
  <si>
    <t>Differences among large numbers are shrunk</t>
  </si>
  <si>
    <t>This turns multiplicative relationships into additive ones:</t>
  </si>
  <si>
    <t>Original scale: variance grows proportionally with the mean</t>
  </si>
  <si>
    <t>Log scale: variance becomes more uniform across levels of the data</t>
  </si>
  <si>
    <t>2. Making data more normally distributed</t>
  </si>
  <si>
    <t>The problem</t>
  </si>
  <si>
    <t>Many real-world variables (income, population size, reaction time, counts) are:</t>
  </si>
  <si>
    <t>Right-skewed</t>
  </si>
  <si>
    <t>Bounded below by zero</t>
  </si>
  <si>
    <t>Have a long tail of large values</t>
  </si>
  <si>
    <t>How the log helps</t>
  </si>
  <si>
    <t>The log transformation:</t>
  </si>
  <si>
    <t>Pulls in the long right tail</t>
  </si>
  <si>
    <t>Spreads out small values</t>
  </si>
  <si>
    <t>Makes the distribution more symmetric</t>
  </si>
  <si>
    <t>As a result:</t>
  </si>
  <si>
    <t>Extreme high values become less influential</t>
  </si>
  <si>
    <t>The data often look closer to a normal distribution</t>
  </si>
  <si>
    <t>3. Mathematical intuition</t>
  </si>
  <si>
    <t>Multiplication becomes addition:</t>
  </si>
  <si>
    <t>Exponential growth becomes linear:</t>
  </si>
  <si>
    <t>4. When log transformation is most useful</t>
  </si>
  <si>
    <t>Log transformation works well when:</t>
  </si>
  <si>
    <t>Data are positive</t>
  </si>
  <si>
    <t>Variance increases with the mean</t>
  </si>
  <si>
    <t>Relationships are multiplicative rather than additive</t>
  </si>
  <si>
    <t>The distribution is right-skewed</t>
  </si>
  <si>
    <t>It does not work well with zero or negative values</t>
  </si>
  <si>
    <t>5. Summary</t>
  </si>
  <si>
    <t>tabilizes variance by compressing large values more than small ones</t>
  </si>
  <si>
    <t>Reduces right skew and makes distributions more symmetric</t>
  </si>
  <si>
    <t>Turns multiplicative effects into additive ones</t>
  </si>
  <si>
    <t>Helps meet assumptions of many statistical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</si>
</sst>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3</xdr:row>
      <xdr:rowOff>76200</xdr:rowOff>
    </xdr:from>
    <xdr:ext cx="7258050" cy="3533775"/>
    <xdr:pic>
      <xdr:nvPicPr>
        <xdr:cNvPr id="143779866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2">
      <c r="B2" s="1" t="s">
        <v>0</v>
      </c>
    </row>
    <row r="3">
      <c r="B3" s="2" t="s">
        <v>1</v>
      </c>
    </row>
    <row r="4">
      <c r="B4" s="2" t="s">
        <v>2</v>
      </c>
      <c r="C4" s="3">
        <f>_xlfn.BINOM.DIST(5,30,1/6,false)</f>
        <v>0.1921081311</v>
      </c>
    </row>
  </sheetData>
  <mergeCells count="1">
    <mergeCell ref="B3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3</v>
      </c>
    </row>
    <row r="4">
      <c r="B4" s="2" t="s">
        <v>2</v>
      </c>
      <c r="C4" s="4">
        <f t="shared" ref="C4:C104" si="1">rand()</f>
        <v>0.8716196918</v>
      </c>
    </row>
    <row r="5">
      <c r="C5" s="4">
        <f t="shared" si="1"/>
        <v>0.8344356495</v>
      </c>
    </row>
    <row r="6">
      <c r="C6" s="4">
        <f t="shared" si="1"/>
        <v>0.7319122736</v>
      </c>
    </row>
    <row r="7">
      <c r="C7" s="4">
        <f t="shared" si="1"/>
        <v>0.7873477015</v>
      </c>
    </row>
    <row r="8">
      <c r="C8" s="4">
        <f t="shared" si="1"/>
        <v>0.5091352505</v>
      </c>
    </row>
    <row r="9">
      <c r="C9" s="4">
        <f t="shared" si="1"/>
        <v>0.4251977266</v>
      </c>
    </row>
    <row r="10">
      <c r="C10" s="4">
        <f t="shared" si="1"/>
        <v>0.1267586546</v>
      </c>
    </row>
    <row r="11">
      <c r="C11" s="4">
        <f t="shared" si="1"/>
        <v>0.7270990955</v>
      </c>
    </row>
    <row r="12">
      <c r="C12" s="4">
        <f t="shared" si="1"/>
        <v>0.2358369962</v>
      </c>
    </row>
    <row r="13">
      <c r="C13" s="4">
        <f t="shared" si="1"/>
        <v>0.4492988201</v>
      </c>
    </row>
    <row r="14">
      <c r="C14" s="4">
        <f t="shared" si="1"/>
        <v>0.01138911161</v>
      </c>
    </row>
    <row r="15">
      <c r="C15" s="4">
        <f t="shared" si="1"/>
        <v>0.9912198576</v>
      </c>
    </row>
    <row r="16">
      <c r="C16" s="4">
        <f t="shared" si="1"/>
        <v>0.09061040553</v>
      </c>
    </row>
    <row r="17">
      <c r="C17" s="4">
        <f t="shared" si="1"/>
        <v>0.9633514552</v>
      </c>
    </row>
    <row r="18">
      <c r="C18" s="4">
        <f t="shared" si="1"/>
        <v>0.4050337137</v>
      </c>
    </row>
    <row r="19">
      <c r="C19" s="4">
        <f t="shared" si="1"/>
        <v>0.3473048626</v>
      </c>
    </row>
    <row r="20">
      <c r="C20" s="4">
        <f t="shared" si="1"/>
        <v>0.1019813268</v>
      </c>
    </row>
    <row r="21">
      <c r="C21" s="4">
        <f t="shared" si="1"/>
        <v>0.3352700606</v>
      </c>
    </row>
    <row r="22">
      <c r="C22" s="4">
        <f t="shared" si="1"/>
        <v>0.5384196111</v>
      </c>
    </row>
    <row r="23">
      <c r="C23" s="4">
        <f t="shared" si="1"/>
        <v>0.341340458</v>
      </c>
    </row>
    <row r="24">
      <c r="C24" s="4">
        <f t="shared" si="1"/>
        <v>0.272211091</v>
      </c>
    </row>
    <row r="25">
      <c r="C25" s="4">
        <f t="shared" si="1"/>
        <v>0.7956005554</v>
      </c>
    </row>
    <row r="26">
      <c r="C26" s="4">
        <f t="shared" si="1"/>
        <v>0.5844506974</v>
      </c>
    </row>
    <row r="27">
      <c r="C27" s="4">
        <f t="shared" si="1"/>
        <v>0.4965011022</v>
      </c>
    </row>
    <row r="28">
      <c r="C28" s="4">
        <f t="shared" si="1"/>
        <v>0.8078947336</v>
      </c>
    </row>
    <row r="29">
      <c r="C29" s="4">
        <f t="shared" si="1"/>
        <v>0.9190151707</v>
      </c>
    </row>
    <row r="30">
      <c r="C30" s="4">
        <f t="shared" si="1"/>
        <v>0.2793873188</v>
      </c>
    </row>
    <row r="31">
      <c r="C31" s="4">
        <f t="shared" si="1"/>
        <v>0.6946289494</v>
      </c>
    </row>
    <row r="32">
      <c r="C32" s="4">
        <f t="shared" si="1"/>
        <v>0.2007301184</v>
      </c>
    </row>
    <row r="33">
      <c r="C33" s="4">
        <f t="shared" si="1"/>
        <v>0.811759889</v>
      </c>
    </row>
    <row r="34">
      <c r="C34" s="4">
        <f t="shared" si="1"/>
        <v>0.9078232263</v>
      </c>
    </row>
    <row r="35">
      <c r="C35" s="4">
        <f t="shared" si="1"/>
        <v>0.07721909762</v>
      </c>
    </row>
    <row r="36">
      <c r="C36" s="4">
        <f t="shared" si="1"/>
        <v>0.7904468385</v>
      </c>
    </row>
    <row r="37">
      <c r="C37" s="4">
        <f t="shared" si="1"/>
        <v>0.2544746674</v>
      </c>
    </row>
    <row r="38">
      <c r="C38" s="4">
        <f t="shared" si="1"/>
        <v>0.3562021006</v>
      </c>
    </row>
    <row r="39">
      <c r="C39" s="4">
        <f t="shared" si="1"/>
        <v>0.6044905189</v>
      </c>
    </row>
    <row r="40">
      <c r="C40" s="4">
        <f t="shared" si="1"/>
        <v>0.1264534554</v>
      </c>
    </row>
    <row r="41">
      <c r="C41" s="4">
        <f t="shared" si="1"/>
        <v>0.429689557</v>
      </c>
    </row>
    <row r="42">
      <c r="C42" s="4">
        <f t="shared" si="1"/>
        <v>0.3273114356</v>
      </c>
    </row>
    <row r="43">
      <c r="C43" s="4">
        <f t="shared" si="1"/>
        <v>0.6191310286</v>
      </c>
    </row>
    <row r="44">
      <c r="C44" s="4">
        <f t="shared" si="1"/>
        <v>0.7855823781</v>
      </c>
    </row>
    <row r="45">
      <c r="C45" s="4">
        <f t="shared" si="1"/>
        <v>0.1494323398</v>
      </c>
    </row>
    <row r="46">
      <c r="C46" s="4">
        <f t="shared" si="1"/>
        <v>0.3521368897</v>
      </c>
    </row>
    <row r="47">
      <c r="C47" s="4">
        <f t="shared" si="1"/>
        <v>0.3755619939</v>
      </c>
    </row>
    <row r="48">
      <c r="C48" s="4">
        <f t="shared" si="1"/>
        <v>0.3003817904</v>
      </c>
    </row>
    <row r="49">
      <c r="C49" s="4">
        <f t="shared" si="1"/>
        <v>0.6907663191</v>
      </c>
    </row>
    <row r="50">
      <c r="C50" s="4">
        <f t="shared" si="1"/>
        <v>0.9356553328</v>
      </c>
    </row>
    <row r="51">
      <c r="C51" s="4">
        <f t="shared" si="1"/>
        <v>0.5160770167</v>
      </c>
    </row>
    <row r="52">
      <c r="C52" s="4">
        <f t="shared" si="1"/>
        <v>0.5057245359</v>
      </c>
    </row>
    <row r="53">
      <c r="C53" s="4">
        <f t="shared" si="1"/>
        <v>0.4457097125</v>
      </c>
    </row>
    <row r="54">
      <c r="C54" s="4">
        <f t="shared" si="1"/>
        <v>0.02959054206</v>
      </c>
    </row>
    <row r="55">
      <c r="C55" s="4">
        <f t="shared" si="1"/>
        <v>0.9019655717</v>
      </c>
    </row>
    <row r="56">
      <c r="C56" s="4">
        <f t="shared" si="1"/>
        <v>0.9210737108</v>
      </c>
    </row>
    <row r="57">
      <c r="C57" s="4">
        <f t="shared" si="1"/>
        <v>0.5968710043</v>
      </c>
    </row>
    <row r="58">
      <c r="C58" s="4">
        <f t="shared" si="1"/>
        <v>0.03785014029</v>
      </c>
    </row>
    <row r="59">
      <c r="C59" s="4">
        <f t="shared" si="1"/>
        <v>0.04074134525</v>
      </c>
    </row>
    <row r="60">
      <c r="C60" s="4">
        <f t="shared" si="1"/>
        <v>0.751565796</v>
      </c>
    </row>
    <row r="61">
      <c r="C61" s="4">
        <f t="shared" si="1"/>
        <v>0.9412669552</v>
      </c>
    </row>
    <row r="62">
      <c r="C62" s="4">
        <f t="shared" si="1"/>
        <v>0.7293084284</v>
      </c>
    </row>
    <row r="63">
      <c r="C63" s="4">
        <f t="shared" si="1"/>
        <v>0.5898525035</v>
      </c>
    </row>
    <row r="64">
      <c r="C64" s="4">
        <f t="shared" si="1"/>
        <v>0.7131416621</v>
      </c>
    </row>
    <row r="65">
      <c r="C65" s="4">
        <f t="shared" si="1"/>
        <v>0.8021734954</v>
      </c>
    </row>
    <row r="66">
      <c r="C66" s="4">
        <f t="shared" si="1"/>
        <v>0.7577946857</v>
      </c>
    </row>
    <row r="67">
      <c r="C67" s="4">
        <f t="shared" si="1"/>
        <v>0.06275861233</v>
      </c>
    </row>
    <row r="68">
      <c r="C68" s="4">
        <f t="shared" si="1"/>
        <v>0.1652768449</v>
      </c>
    </row>
    <row r="69">
      <c r="C69" s="4">
        <f t="shared" si="1"/>
        <v>0.6924919588</v>
      </c>
    </row>
    <row r="70">
      <c r="C70" s="4">
        <f t="shared" si="1"/>
        <v>0.9705915725</v>
      </c>
    </row>
    <row r="71">
      <c r="C71" s="4">
        <f t="shared" si="1"/>
        <v>0.9150173749</v>
      </c>
    </row>
    <row r="72">
      <c r="C72" s="4">
        <f t="shared" si="1"/>
        <v>0.969432008</v>
      </c>
    </row>
    <row r="73">
      <c r="C73" s="4">
        <f t="shared" si="1"/>
        <v>0.02299611431</v>
      </c>
    </row>
    <row r="74">
      <c r="C74" s="4">
        <f t="shared" si="1"/>
        <v>0.3244443104</v>
      </c>
    </row>
    <row r="75">
      <c r="C75" s="4">
        <f t="shared" si="1"/>
        <v>0.6460314994</v>
      </c>
    </row>
    <row r="76">
      <c r="C76" s="4">
        <f t="shared" si="1"/>
        <v>0.08216557595</v>
      </c>
    </row>
    <row r="77">
      <c r="C77" s="4">
        <f t="shared" si="1"/>
        <v>0.684958525</v>
      </c>
    </row>
    <row r="78">
      <c r="C78" s="4">
        <f t="shared" si="1"/>
        <v>0.02202591515</v>
      </c>
    </row>
    <row r="79">
      <c r="C79" s="4">
        <f t="shared" si="1"/>
        <v>0.4163644727</v>
      </c>
    </row>
    <row r="80">
      <c r="C80" s="4">
        <f t="shared" si="1"/>
        <v>0.1389204255</v>
      </c>
    </row>
    <row r="81">
      <c r="C81" s="4">
        <f t="shared" si="1"/>
        <v>0.7790369691</v>
      </c>
    </row>
    <row r="82">
      <c r="C82" s="4">
        <f t="shared" si="1"/>
        <v>0.4319993228</v>
      </c>
    </row>
    <row r="83">
      <c r="C83" s="4">
        <f t="shared" si="1"/>
        <v>0.9510411299</v>
      </c>
    </row>
    <row r="84">
      <c r="C84" s="4">
        <f t="shared" si="1"/>
        <v>0.1878167294</v>
      </c>
    </row>
    <row r="85">
      <c r="C85" s="4">
        <f t="shared" si="1"/>
        <v>0.1109351716</v>
      </c>
    </row>
    <row r="86">
      <c r="C86" s="4">
        <f t="shared" si="1"/>
        <v>0.4622628779</v>
      </c>
    </row>
    <row r="87">
      <c r="C87" s="4">
        <f t="shared" si="1"/>
        <v>0.1760074534</v>
      </c>
    </row>
    <row r="88">
      <c r="C88" s="4">
        <f t="shared" si="1"/>
        <v>0.2923538727</v>
      </c>
    </row>
    <row r="89">
      <c r="C89" s="4">
        <f t="shared" si="1"/>
        <v>0.3292344091</v>
      </c>
    </row>
    <row r="90">
      <c r="C90" s="4">
        <f t="shared" si="1"/>
        <v>0.3186603388</v>
      </c>
    </row>
    <row r="91">
      <c r="C91" s="4">
        <f t="shared" si="1"/>
        <v>0.117931307</v>
      </c>
    </row>
    <row r="92">
      <c r="C92" s="4">
        <f t="shared" si="1"/>
        <v>0.9377439613</v>
      </c>
    </row>
    <row r="93">
      <c r="C93" s="4">
        <f t="shared" si="1"/>
        <v>0.7419255257</v>
      </c>
    </row>
    <row r="94">
      <c r="C94" s="4">
        <f t="shared" si="1"/>
        <v>0.0003823953719</v>
      </c>
    </row>
    <row r="95">
      <c r="C95" s="4">
        <f t="shared" si="1"/>
        <v>0.08678366377</v>
      </c>
    </row>
    <row r="96">
      <c r="C96" s="4">
        <f t="shared" si="1"/>
        <v>0.04767043129</v>
      </c>
    </row>
    <row r="97">
      <c r="C97" s="4">
        <f t="shared" si="1"/>
        <v>0.915553844</v>
      </c>
    </row>
    <row r="98">
      <c r="C98" s="4">
        <f t="shared" si="1"/>
        <v>0.458481872</v>
      </c>
    </row>
    <row r="99">
      <c r="C99" s="4">
        <f t="shared" si="1"/>
        <v>0.05614813264</v>
      </c>
    </row>
    <row r="100">
      <c r="C100" s="4">
        <f t="shared" si="1"/>
        <v>0.946585226</v>
      </c>
    </row>
    <row r="101">
      <c r="C101" s="4">
        <f t="shared" si="1"/>
        <v>0.1345218724</v>
      </c>
    </row>
    <row r="102">
      <c r="C102" s="4">
        <f t="shared" si="1"/>
        <v>0.0753697339</v>
      </c>
    </row>
    <row r="103">
      <c r="C103" s="4">
        <f t="shared" si="1"/>
        <v>0.4579640061</v>
      </c>
    </row>
    <row r="104">
      <c r="C104" s="4">
        <f t="shared" si="1"/>
        <v>0.7872281789</v>
      </c>
    </row>
  </sheetData>
  <mergeCells count="1">
    <mergeCell ref="B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4</v>
      </c>
    </row>
    <row r="4">
      <c r="B4" s="1" t="s">
        <v>5</v>
      </c>
    </row>
    <row r="5">
      <c r="B5" s="1" t="s">
        <v>6</v>
      </c>
    </row>
    <row r="7">
      <c r="B7" s="1" t="s">
        <v>7</v>
      </c>
    </row>
    <row r="8">
      <c r="B8" s="1" t="s">
        <v>8</v>
      </c>
    </row>
    <row r="10">
      <c r="B10" s="1" t="s">
        <v>9</v>
      </c>
    </row>
    <row r="11">
      <c r="B11" s="1" t="s">
        <v>10</v>
      </c>
    </row>
    <row r="13">
      <c r="B13" s="2" t="s">
        <v>11</v>
      </c>
    </row>
    <row r="15">
      <c r="B15" s="2" t="s">
        <v>12</v>
      </c>
    </row>
    <row r="16">
      <c r="B16" s="1" t="s">
        <v>13</v>
      </c>
    </row>
    <row r="17">
      <c r="B17" s="1" t="s">
        <v>14</v>
      </c>
    </row>
    <row r="18">
      <c r="B18" s="1" t="s">
        <v>15</v>
      </c>
    </row>
    <row r="20">
      <c r="B20" s="2" t="s">
        <v>16</v>
      </c>
    </row>
    <row r="21">
      <c r="B21" s="1" t="s">
        <v>17</v>
      </c>
    </row>
    <row r="22">
      <c r="B22" s="1" t="s">
        <v>18</v>
      </c>
    </row>
    <row r="23">
      <c r="B23" s="1" t="s">
        <v>19</v>
      </c>
    </row>
    <row r="25">
      <c r="B25" s="1" t="s">
        <v>20</v>
      </c>
    </row>
    <row r="26">
      <c r="B26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2">
      <c r="B2" s="2" t="s">
        <v>22</v>
      </c>
    </row>
    <row r="4">
      <c r="B4" s="1" t="s">
        <v>23</v>
      </c>
    </row>
    <row r="6">
      <c r="B6" s="1" t="s">
        <v>24</v>
      </c>
      <c r="C6" s="1" t="s">
        <v>25</v>
      </c>
    </row>
    <row r="8">
      <c r="B8" s="1" t="s">
        <v>26</v>
      </c>
    </row>
    <row r="9">
      <c r="B9" s="1" t="s">
        <v>27</v>
      </c>
    </row>
    <row r="10">
      <c r="B10" s="1" t="s">
        <v>28</v>
      </c>
    </row>
    <row r="11">
      <c r="B11" s="1" t="s">
        <v>29</v>
      </c>
    </row>
    <row r="12">
      <c r="B12" s="1" t="s">
        <v>30</v>
      </c>
    </row>
    <row r="15">
      <c r="B15" s="1" t="s">
        <v>31</v>
      </c>
    </row>
    <row r="16">
      <c r="B16" s="1" t="s">
        <v>32</v>
      </c>
    </row>
    <row r="17">
      <c r="B17" s="1" t="s">
        <v>33</v>
      </c>
    </row>
    <row r="18">
      <c r="B18" s="1" t="s">
        <v>34</v>
      </c>
    </row>
    <row r="19">
      <c r="B19" s="1" t="s">
        <v>35</v>
      </c>
    </row>
    <row r="20">
      <c r="B20" s="1" t="s">
        <v>36</v>
      </c>
    </row>
    <row r="21">
      <c r="B21" s="1" t="s">
        <v>37</v>
      </c>
    </row>
    <row r="24">
      <c r="B24" s="2" t="s">
        <v>38</v>
      </c>
    </row>
    <row r="25">
      <c r="B25" s="2" t="s">
        <v>39</v>
      </c>
    </row>
    <row r="26">
      <c r="B26" s="1" t="s">
        <v>40</v>
      </c>
    </row>
    <row r="27">
      <c r="B27" s="1" t="s">
        <v>41</v>
      </c>
    </row>
    <row r="29">
      <c r="B29" s="1" t="s">
        <v>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43</v>
      </c>
    </row>
    <row r="4">
      <c r="B4" s="1" t="s">
        <v>44</v>
      </c>
    </row>
    <row r="6">
      <c r="B6" s="2" t="s">
        <v>45</v>
      </c>
    </row>
    <row r="8">
      <c r="B8" s="2" t="s">
        <v>46</v>
      </c>
    </row>
    <row r="9">
      <c r="B9" s="1" t="s">
        <v>47</v>
      </c>
    </row>
    <row r="10">
      <c r="B10" s="1" t="s">
        <v>48</v>
      </c>
    </row>
    <row r="11">
      <c r="B11" s="1" t="s">
        <v>49</v>
      </c>
    </row>
    <row r="12">
      <c r="B12" s="1" t="s">
        <v>50</v>
      </c>
    </row>
    <row r="14">
      <c r="B14" s="2" t="s">
        <v>51</v>
      </c>
    </row>
    <row r="15">
      <c r="B15" s="1" t="s">
        <v>52</v>
      </c>
    </row>
    <row r="16">
      <c r="B16" s="1" t="s">
        <v>53</v>
      </c>
    </row>
    <row r="17">
      <c r="B17" s="1" t="s">
        <v>54</v>
      </c>
    </row>
    <row r="18">
      <c r="B18" s="1" t="s">
        <v>55</v>
      </c>
    </row>
    <row r="20">
      <c r="B20" s="5" t="s">
        <v>56</v>
      </c>
    </row>
    <row r="21">
      <c r="B21" s="1" t="s">
        <v>57</v>
      </c>
    </row>
    <row r="22">
      <c r="B22" s="1" t="s">
        <v>58</v>
      </c>
    </row>
    <row r="23">
      <c r="B23" s="1" t="s">
        <v>59</v>
      </c>
    </row>
    <row r="24">
      <c r="B24" s="1" t="s">
        <v>60</v>
      </c>
    </row>
    <row r="27">
      <c r="B27" s="6" t="s">
        <v>61</v>
      </c>
      <c r="C27" s="7"/>
      <c r="D27" s="7"/>
      <c r="E27" s="7"/>
      <c r="F27" s="7"/>
    </row>
    <row r="28">
      <c r="B28" s="6" t="s">
        <v>62</v>
      </c>
      <c r="C28" s="7"/>
      <c r="D28" s="7"/>
      <c r="E28" s="7"/>
      <c r="F28" s="7"/>
    </row>
    <row r="29">
      <c r="B29" s="6" t="s">
        <v>63</v>
      </c>
      <c r="C29" s="7"/>
      <c r="D29" s="7"/>
      <c r="E29" s="7"/>
      <c r="F29" s="7"/>
    </row>
    <row r="30">
      <c r="B30" s="7"/>
      <c r="C30" s="7"/>
      <c r="D30" s="7"/>
      <c r="E30" s="7"/>
      <c r="F30" s="7"/>
    </row>
    <row r="31">
      <c r="C31" s="7"/>
      <c r="D31" s="7"/>
      <c r="E31" s="7"/>
      <c r="F31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64</v>
      </c>
    </row>
    <row r="4">
      <c r="B4" s="1" t="s">
        <v>65</v>
      </c>
    </row>
    <row r="6">
      <c r="B6" s="1" t="s">
        <v>66</v>
      </c>
    </row>
    <row r="8">
      <c r="B8" s="2" t="s">
        <v>67</v>
      </c>
    </row>
    <row r="9">
      <c r="B9" s="1" t="s">
        <v>68</v>
      </c>
    </row>
    <row r="10">
      <c r="B10" s="1" t="s">
        <v>69</v>
      </c>
    </row>
    <row r="11">
      <c r="B11" s="1" t="s">
        <v>70</v>
      </c>
    </row>
    <row r="13">
      <c r="B13" s="1" t="s">
        <v>71</v>
      </c>
    </row>
    <row r="15">
      <c r="B15" s="1" t="s">
        <v>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73</v>
      </c>
    </row>
    <row r="4">
      <c r="B4" s="1" t="s">
        <v>74</v>
      </c>
    </row>
    <row r="5">
      <c r="B5" s="1" t="s">
        <v>75</v>
      </c>
    </row>
    <row r="6">
      <c r="B6" s="1" t="s">
        <v>76</v>
      </c>
    </row>
    <row r="8">
      <c r="B8" s="1" t="s">
        <v>77</v>
      </c>
    </row>
    <row r="10">
      <c r="B10" s="2" t="s">
        <v>78</v>
      </c>
      <c r="C10" s="4">
        <f>1-_xlfn.BINOM.DIST(7,15,0.5,true)</f>
        <v>0.5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79</v>
      </c>
    </row>
    <row r="4">
      <c r="A4" s="2" t="s">
        <v>2</v>
      </c>
      <c r="B4" s="1" t="s">
        <v>80</v>
      </c>
    </row>
    <row r="6">
      <c r="B6" s="2" t="s">
        <v>81</v>
      </c>
    </row>
    <row r="7">
      <c r="B7" s="1" t="s">
        <v>82</v>
      </c>
    </row>
    <row r="8">
      <c r="B8" s="1" t="s">
        <v>83</v>
      </c>
    </row>
    <row r="9">
      <c r="C9" s="1" t="s">
        <v>84</v>
      </c>
    </row>
    <row r="10">
      <c r="C10" s="1" t="s">
        <v>85</v>
      </c>
    </row>
    <row r="12">
      <c r="B12" s="1" t="s">
        <v>86</v>
      </c>
    </row>
    <row r="14">
      <c r="B14" s="2" t="s">
        <v>87</v>
      </c>
    </row>
    <row r="15">
      <c r="B15" s="1" t="s">
        <v>88</v>
      </c>
    </row>
    <row r="16">
      <c r="C16" s="1" t="s">
        <v>89</v>
      </c>
    </row>
    <row r="17">
      <c r="C17" s="1" t="s">
        <v>90</v>
      </c>
    </row>
    <row r="19">
      <c r="B19" s="1" t="s">
        <v>91</v>
      </c>
    </row>
    <row r="20">
      <c r="C20" s="1" t="s">
        <v>92</v>
      </c>
    </row>
    <row r="21">
      <c r="C21" s="1" t="s">
        <v>93</v>
      </c>
    </row>
    <row r="23">
      <c r="B23" s="2" t="s">
        <v>94</v>
      </c>
    </row>
    <row r="24">
      <c r="B24" s="2" t="s">
        <v>95</v>
      </c>
    </row>
    <row r="25">
      <c r="B25" s="1" t="s">
        <v>96</v>
      </c>
    </row>
    <row r="26">
      <c r="C26" s="2" t="s">
        <v>97</v>
      </c>
    </row>
    <row r="27">
      <c r="C27" s="2" t="s">
        <v>98</v>
      </c>
    </row>
    <row r="28">
      <c r="C28" s="2" t="s">
        <v>99</v>
      </c>
    </row>
    <row r="30">
      <c r="B30" s="2" t="s">
        <v>100</v>
      </c>
    </row>
    <row r="31">
      <c r="B31" s="1" t="s">
        <v>101</v>
      </c>
    </row>
    <row r="32">
      <c r="C32" s="1" t="s">
        <v>102</v>
      </c>
    </row>
    <row r="33">
      <c r="C33" s="1" t="s">
        <v>103</v>
      </c>
    </row>
    <row r="34">
      <c r="C34" s="1" t="s">
        <v>104</v>
      </c>
    </row>
    <row r="36">
      <c r="B36" s="2" t="s">
        <v>105</v>
      </c>
    </row>
    <row r="37">
      <c r="C37" s="1" t="s">
        <v>106</v>
      </c>
    </row>
    <row r="38">
      <c r="C38" s="1" t="s">
        <v>107</v>
      </c>
    </row>
    <row r="40">
      <c r="B40" s="2" t="s">
        <v>108</v>
      </c>
    </row>
    <row r="41">
      <c r="C41" s="1" t="s">
        <v>109</v>
      </c>
    </row>
    <row r="42">
      <c r="C42" s="1" t="s">
        <v>110</v>
      </c>
    </row>
    <row r="44">
      <c r="B44" s="2" t="s">
        <v>111</v>
      </c>
    </row>
    <row r="45">
      <c r="B45" s="1" t="s">
        <v>112</v>
      </c>
    </row>
    <row r="46">
      <c r="C46" s="1" t="s">
        <v>113</v>
      </c>
    </row>
    <row r="47">
      <c r="C47" s="1" t="s">
        <v>114</v>
      </c>
    </row>
    <row r="48">
      <c r="C48" s="1" t="s">
        <v>115</v>
      </c>
    </row>
    <row r="49">
      <c r="C49" s="1" t="s">
        <v>116</v>
      </c>
    </row>
    <row r="51">
      <c r="B51" s="1" t="s">
        <v>117</v>
      </c>
    </row>
    <row r="53">
      <c r="B53" s="2" t="s">
        <v>118</v>
      </c>
    </row>
    <row r="54">
      <c r="C54" s="1" t="s">
        <v>119</v>
      </c>
    </row>
    <row r="55">
      <c r="C55" s="1" t="s">
        <v>120</v>
      </c>
    </row>
    <row r="56">
      <c r="C56" s="1" t="s">
        <v>121</v>
      </c>
    </row>
    <row r="57">
      <c r="C57" s="1" t="s">
        <v>122</v>
      </c>
    </row>
  </sheetData>
  <drawing r:id="rId1"/>
</worksheet>
</file>